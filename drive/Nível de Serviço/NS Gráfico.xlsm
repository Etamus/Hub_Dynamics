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lopesm21\Desktop\Macros para Consertar\Nível de Serviço\"/>
    </mc:Choice>
  </mc:AlternateContent>
  <bookViews>
    <workbookView xWindow="0" yWindow="0" windowWidth="23040" windowHeight="9072" tabRatio="398"/>
  </bookViews>
  <sheets>
    <sheet name="Base_Peças" sheetId="1" r:id="rId1"/>
    <sheet name="Planilha1" sheetId="18" r:id="rId2"/>
    <sheet name="Din nova" sheetId="16" r:id="rId3"/>
    <sheet name="Gráficos" sheetId="17" r:id="rId4"/>
  </sheets>
  <externalReferences>
    <externalReference r:id="rId5"/>
  </externalReferences>
  <definedNames>
    <definedName name="_xlnm._FilterDatabase" localSheetId="0" hidden="1">Base_Peças!$A$1:$AP$54</definedName>
    <definedName name="Chamados">#REF!</definedName>
    <definedName name="Histórico">'[1]Dados do Field 15 Meses'!$A$3:$E$6</definedName>
    <definedName name="HTML_CodePage" hidden="1">1252</definedName>
    <definedName name="HTML_Description" hidden="1">""</definedName>
    <definedName name="HTML_Email" hidden="1">"israelk@multibras.com.br"</definedName>
    <definedName name="HTML_Header" hidden="1">""</definedName>
    <definedName name="HTML_LastUpdate" hidden="1">"24/01/2003"</definedName>
    <definedName name="HTML_LineAfter" hidden="1">FALSE</definedName>
    <definedName name="HTML_LineBefore" hidden="1">FALSE</definedName>
    <definedName name="HTML_Name" hidden="1">"Israel Kraisch 4284"</definedName>
    <definedName name="HTML_OBDlg2" hidden="1">TRUE</definedName>
    <definedName name="HTML_OBDlg4" hidden="1">TRUE</definedName>
    <definedName name="HTML_OS" hidden="1">0</definedName>
    <definedName name="HTML_PathFile" hidden="1">"C:\Meus documentos\paginas_html\Quality\indicadores\irc\graficos_irc_plataformas\grafico_unid_jlle.htm"</definedName>
    <definedName name="HTML_Title" hidden="1">""</definedName>
    <definedName name="Produção">#REF!</definedName>
    <definedName name="SegmentaçãodeDados_Cod">#N/A</definedName>
    <definedName name="SegmentaçãodeDados_Indicador">#N/A</definedName>
    <definedName name="Total">#REF!</definedName>
  </definedNames>
  <calcPr calcId="162913"/>
  <pivotCaches>
    <pivotCache cacheId="56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53" i="1" l="1"/>
  <c r="AD52" i="1"/>
  <c r="AD49" i="1"/>
  <c r="AD48" i="1"/>
  <c r="AD47" i="1"/>
  <c r="AD46" i="1"/>
  <c r="AD44" i="1"/>
  <c r="AD43" i="1"/>
  <c r="AD42" i="1"/>
  <c r="AD38" i="1"/>
  <c r="AD37" i="1"/>
  <c r="AD33" i="1"/>
  <c r="AD32" i="1"/>
  <c r="AD28" i="1"/>
  <c r="AD27" i="1"/>
  <c r="AD25" i="1"/>
  <c r="AD24" i="1"/>
  <c r="AD23" i="1"/>
  <c r="AD19" i="1"/>
  <c r="AD18" i="1"/>
  <c r="AD14" i="1"/>
  <c r="AD13" i="1"/>
  <c r="AD9" i="1"/>
  <c r="AD8" i="1"/>
  <c r="AD6" i="1"/>
  <c r="AD5" i="1"/>
  <c r="AD4" i="1"/>
  <c r="F4" i="1" l="1"/>
  <c r="F5" i="1"/>
  <c r="F6" i="1"/>
  <c r="F8" i="1"/>
  <c r="F9" i="1"/>
  <c r="F13" i="1"/>
  <c r="F14" i="1"/>
  <c r="F17" i="1"/>
  <c r="F18" i="1"/>
  <c r="F19" i="1"/>
  <c r="F23" i="1"/>
  <c r="F24" i="1"/>
  <c r="F25" i="1"/>
  <c r="F27" i="1"/>
  <c r="L47" i="1" l="1"/>
  <c r="F47" i="1"/>
  <c r="I47" i="1" l="1"/>
  <c r="U52" i="1"/>
  <c r="U37" i="1"/>
  <c r="U18" i="1"/>
  <c r="U42" i="1"/>
  <c r="U23" i="1"/>
  <c r="U4" i="1"/>
  <c r="U53" i="1"/>
  <c r="U38" i="1"/>
  <c r="U19" i="1"/>
  <c r="U49" i="1"/>
  <c r="U33" i="1"/>
  <c r="U14" i="1"/>
  <c r="U29" i="1"/>
  <c r="U48" i="1"/>
  <c r="U32" i="1"/>
  <c r="U13" i="1"/>
  <c r="U47" i="1"/>
  <c r="U28" i="1"/>
  <c r="U9" i="1"/>
  <c r="U46" i="1"/>
  <c r="U27" i="1"/>
  <c r="U8" i="1"/>
  <c r="U44" i="1"/>
  <c r="U25" i="1"/>
  <c r="U6" i="1"/>
  <c r="U43" i="1"/>
  <c r="U24" i="1"/>
  <c r="U5" i="1"/>
  <c r="I9" i="1"/>
  <c r="R42" i="1" l="1"/>
  <c r="R23" i="1"/>
  <c r="R4" i="1"/>
  <c r="O42" i="1"/>
  <c r="O23" i="1"/>
  <c r="O4" i="1"/>
  <c r="L42" i="1"/>
  <c r="L4" i="1"/>
  <c r="L9" i="1"/>
  <c r="L28" i="1"/>
  <c r="R5" i="1"/>
  <c r="R6" i="1"/>
  <c r="R8" i="1"/>
  <c r="R9" i="1"/>
  <c r="R13" i="1"/>
  <c r="R14" i="1"/>
  <c r="R18" i="1"/>
  <c r="R19" i="1"/>
  <c r="R24" i="1"/>
  <c r="R25" i="1"/>
  <c r="R27" i="1"/>
  <c r="R28" i="1"/>
  <c r="R32" i="1"/>
  <c r="R33" i="1"/>
  <c r="R37" i="1"/>
  <c r="R38" i="1"/>
  <c r="R43" i="1"/>
  <c r="R44" i="1"/>
  <c r="R46" i="1"/>
  <c r="R47" i="1"/>
  <c r="R48" i="1"/>
  <c r="R49" i="1"/>
  <c r="R52" i="1"/>
  <c r="R53" i="1"/>
  <c r="O5" i="1" l="1"/>
  <c r="O6" i="1"/>
  <c r="O8" i="1"/>
  <c r="O10" i="1"/>
  <c r="O13" i="1"/>
  <c r="O14" i="1"/>
  <c r="O17" i="1"/>
  <c r="O18" i="1"/>
  <c r="O19" i="1"/>
  <c r="O24" i="1"/>
  <c r="O25" i="1"/>
  <c r="O27" i="1"/>
  <c r="O29" i="1"/>
  <c r="O32" i="1"/>
  <c r="O33" i="1"/>
  <c r="O36" i="1"/>
  <c r="O37" i="1"/>
  <c r="O38" i="1"/>
  <c r="O43" i="1"/>
  <c r="O44" i="1"/>
  <c r="O46" i="1"/>
  <c r="O48" i="1"/>
  <c r="O49" i="1"/>
  <c r="O52" i="1"/>
  <c r="O53" i="1"/>
  <c r="L5" i="1"/>
  <c r="L6" i="1"/>
  <c r="L8" i="1"/>
  <c r="L10" i="1"/>
  <c r="L13" i="1"/>
  <c r="L14" i="1"/>
  <c r="L17" i="1"/>
  <c r="L18" i="1"/>
  <c r="L19" i="1"/>
  <c r="L23" i="1"/>
  <c r="L24" i="1"/>
  <c r="L25" i="1"/>
  <c r="L27" i="1"/>
  <c r="L29" i="1"/>
  <c r="L32" i="1"/>
  <c r="L33" i="1"/>
  <c r="L36" i="1"/>
  <c r="L37" i="1"/>
  <c r="L38" i="1"/>
  <c r="L43" i="1"/>
  <c r="L44" i="1"/>
  <c r="L46" i="1"/>
  <c r="L48" i="1"/>
  <c r="L49" i="1"/>
  <c r="L52" i="1"/>
  <c r="L53" i="1"/>
  <c r="F42" i="1"/>
  <c r="I53" i="1" l="1"/>
  <c r="I52" i="1"/>
  <c r="I49" i="1"/>
  <c r="I48" i="1"/>
  <c r="I46" i="1"/>
  <c r="I44" i="1"/>
  <c r="I43" i="1"/>
  <c r="I38" i="1"/>
  <c r="I37" i="1"/>
  <c r="I36" i="1"/>
  <c r="I33" i="1"/>
  <c r="I32" i="1"/>
  <c r="I28" i="1"/>
  <c r="I27" i="1"/>
  <c r="I25" i="1"/>
  <c r="I24" i="1"/>
  <c r="I19" i="1"/>
  <c r="I18" i="1"/>
  <c r="I17" i="1"/>
  <c r="I14" i="1"/>
  <c r="I13" i="1"/>
  <c r="I8" i="1"/>
  <c r="I6" i="1"/>
  <c r="I5" i="1"/>
  <c r="AO47" i="1" l="1"/>
  <c r="AN4" i="1" l="1"/>
  <c r="AO4" i="1"/>
  <c r="AP4" i="1" l="1"/>
  <c r="AN8" i="1" l="1"/>
  <c r="AN5" i="1"/>
  <c r="AP3" i="1" l="1"/>
  <c r="AO5" i="1"/>
  <c r="AN6" i="1"/>
  <c r="AO6" i="1"/>
  <c r="AP7" i="1"/>
  <c r="AO8" i="1"/>
  <c r="AN9" i="1"/>
  <c r="AO9" i="1"/>
  <c r="AN10" i="1"/>
  <c r="AO10" i="1"/>
  <c r="AP11" i="1"/>
  <c r="AP12" i="1"/>
  <c r="AN13" i="1"/>
  <c r="AO13" i="1"/>
  <c r="AN14" i="1"/>
  <c r="AO14" i="1"/>
  <c r="AN15" i="1"/>
  <c r="AO15" i="1"/>
  <c r="AN16" i="1"/>
  <c r="AO16" i="1"/>
  <c r="AP17" i="1"/>
  <c r="AN18" i="1"/>
  <c r="AO18" i="1"/>
  <c r="AN19" i="1"/>
  <c r="AO19" i="1"/>
  <c r="AN20" i="1"/>
  <c r="AO20" i="1"/>
  <c r="AP21" i="1"/>
  <c r="AP22" i="1"/>
  <c r="AN23" i="1"/>
  <c r="AO23" i="1"/>
  <c r="AN24" i="1"/>
  <c r="AO24" i="1"/>
  <c r="AN25" i="1"/>
  <c r="AO25" i="1"/>
  <c r="AP26" i="1"/>
  <c r="AN27" i="1"/>
  <c r="AO27" i="1"/>
  <c r="AN28" i="1"/>
  <c r="AO28" i="1"/>
  <c r="AN29" i="1"/>
  <c r="AO29" i="1"/>
  <c r="AP30" i="1"/>
  <c r="AP31" i="1"/>
  <c r="AN32" i="1"/>
  <c r="AO32" i="1"/>
  <c r="AN33" i="1"/>
  <c r="AO33" i="1"/>
  <c r="AN34" i="1"/>
  <c r="AO34" i="1"/>
  <c r="AN35" i="1"/>
  <c r="AO35" i="1"/>
  <c r="AN36" i="1"/>
  <c r="AO36" i="1"/>
  <c r="AN37" i="1"/>
  <c r="AO37" i="1"/>
  <c r="AN38" i="1"/>
  <c r="AO38" i="1"/>
  <c r="AN39" i="1"/>
  <c r="AO39" i="1"/>
  <c r="AP40" i="1"/>
  <c r="AP41" i="1"/>
  <c r="AP42" i="1"/>
  <c r="AN43" i="1"/>
  <c r="AO43" i="1"/>
  <c r="AN44" i="1"/>
  <c r="AO44" i="1"/>
  <c r="AP45" i="1"/>
  <c r="AN46" i="1"/>
  <c r="AO46" i="1"/>
  <c r="AN47" i="1"/>
  <c r="AP47" i="1" s="1"/>
  <c r="AN48" i="1"/>
  <c r="AO48" i="1"/>
  <c r="AN49" i="1"/>
  <c r="AO49" i="1"/>
  <c r="AN50" i="1"/>
  <c r="AO50" i="1"/>
  <c r="AP51" i="1"/>
  <c r="AN52" i="1"/>
  <c r="AO52" i="1"/>
  <c r="AN53" i="1"/>
  <c r="AO53" i="1"/>
  <c r="AP54" i="1"/>
  <c r="AP50" i="1" l="1"/>
  <c r="AP34" i="1"/>
  <c r="AP8" i="1"/>
  <c r="AP35" i="1"/>
  <c r="AP28" i="1"/>
  <c r="AP44" i="1"/>
  <c r="AP23" i="1"/>
  <c r="AP29" i="1"/>
  <c r="AP25" i="1"/>
  <c r="AP20" i="1"/>
  <c r="AP10" i="1"/>
  <c r="AP37" i="1"/>
  <c r="AP46" i="1"/>
  <c r="AP38" i="1"/>
  <c r="AP16" i="1"/>
  <c r="AP9" i="1"/>
  <c r="AP33" i="1"/>
  <c r="AP32" i="1"/>
  <c r="AP53" i="1"/>
  <c r="AP19" i="1"/>
  <c r="AP6" i="1"/>
  <c r="AP43" i="1"/>
  <c r="AP24" i="1"/>
  <c r="AP5" i="1"/>
  <c r="AP15" i="1"/>
  <c r="AP49" i="1"/>
  <c r="AP14" i="1"/>
  <c r="AP48" i="1"/>
  <c r="AP36" i="1"/>
  <c r="AP13" i="1"/>
  <c r="AP52" i="1"/>
  <c r="AP18" i="1"/>
  <c r="AP2" i="1"/>
  <c r="AP27" i="1"/>
  <c r="AP39" i="1"/>
  <c r="F32" i="1" l="1"/>
  <c r="F33" i="1"/>
  <c r="F36" i="1"/>
  <c r="F37" i="1"/>
  <c r="F38" i="1"/>
  <c r="F43" i="1"/>
  <c r="F44" i="1"/>
  <c r="F46" i="1"/>
  <c r="F48" i="1"/>
  <c r="F49" i="1"/>
  <c r="F52" i="1"/>
  <c r="F53" i="1"/>
</calcChain>
</file>

<file path=xl/sharedStrings.xml><?xml version="1.0" encoding="utf-8"?>
<sst xmlns="http://schemas.openxmlformats.org/spreadsheetml/2006/main" count="168" uniqueCount="80">
  <si>
    <t>Qtde Linhas - Janeiro</t>
  </si>
  <si>
    <t>Dentro do Prazo - Janeiro</t>
  </si>
  <si>
    <t>% NS Jan</t>
  </si>
  <si>
    <t>Qtde Linhas - Fevereiro</t>
  </si>
  <si>
    <t>Dentro do Prazo - Fevereiro</t>
  </si>
  <si>
    <t>% NS Fev</t>
  </si>
  <si>
    <t>Qtde Linhas - Março</t>
  </si>
  <si>
    <t>Dentro do Prazo - Março</t>
  </si>
  <si>
    <t>% NS Mar</t>
  </si>
  <si>
    <t>Qtde Linhas - Abril</t>
  </si>
  <si>
    <t>Dentro do Prazo - Abril</t>
  </si>
  <si>
    <t>% NS Abr</t>
  </si>
  <si>
    <t>Qtde Linhas - Maio</t>
  </si>
  <si>
    <t>Dentro do Prazo - Maio</t>
  </si>
  <si>
    <t>% NS Mai</t>
  </si>
  <si>
    <t>Indicador</t>
  </si>
  <si>
    <t>Valores</t>
  </si>
  <si>
    <t>Cod</t>
  </si>
  <si>
    <t>Meta</t>
  </si>
  <si>
    <t>Qtde Linhas - Junho</t>
  </si>
  <si>
    <t>Dentro do Prazo - Junho</t>
  </si>
  <si>
    <t>% NS Jun</t>
  </si>
  <si>
    <t>Qtde Linhas - Julho</t>
  </si>
  <si>
    <t>Dentro do Prazo - Julho</t>
  </si>
  <si>
    <t>% NS Jul</t>
  </si>
  <si>
    <t>% NS Ago</t>
  </si>
  <si>
    <t>Qtde Linhas - Agosto</t>
  </si>
  <si>
    <t>Dentro do Prazo - Agosto</t>
  </si>
  <si>
    <t>Qtde Linhas - Setembro</t>
  </si>
  <si>
    <t>Dentro do Prazo - Setembro</t>
  </si>
  <si>
    <t>% NS Set</t>
  </si>
  <si>
    <t>Qtde Linhas - Outubro</t>
  </si>
  <si>
    <t>Dentro do Prazo - Outubro</t>
  </si>
  <si>
    <t>% NS Out</t>
  </si>
  <si>
    <t>Qtde Linhas - Novembro</t>
  </si>
  <si>
    <t>Dentro do Prazo - Novembro</t>
  </si>
  <si>
    <t>% NS Nov</t>
  </si>
  <si>
    <t>Qtde Linhas - Dezembro</t>
  </si>
  <si>
    <t>% NS Dez</t>
  </si>
  <si>
    <t>Dentro do Prazo - Dezembro</t>
  </si>
  <si>
    <t>NS Coleta</t>
  </si>
  <si>
    <t>Qtde Linhas - YTD</t>
  </si>
  <si>
    <t>Dentro do Prazo - YTD</t>
  </si>
  <si>
    <t>5002573 - CARVALIMA TRANSPORTES LTDA</t>
  </si>
  <si>
    <t>5002858 - FAVORITA TRANSPORTES LTDA</t>
  </si>
  <si>
    <t>5002977 - DIRECIONAL TRANSPORTES E LOGISTICA</t>
  </si>
  <si>
    <t>5003024 - RODOBRAS TRANSPORTES RODOVIARIOS LT</t>
  </si>
  <si>
    <t>5003176 - J C THEDIN TRANSPORTES LTDA</t>
  </si>
  <si>
    <t>5003273 - METAR LOGÍSTICA LTDA</t>
  </si>
  <si>
    <t>5003294 - DIRECT EXPRESS LOGISTICA INTEGRADA</t>
  </si>
  <si>
    <t>5003329 - TEX TRANSP.ENCOMENDAS EXPRESS LT</t>
  </si>
  <si>
    <t>5003254 - TMA TRANSPORTE LOTACAO E LOGISTICA</t>
  </si>
  <si>
    <t>5003482 - TMA TRANSPORTE LOTACAO E LOGISTICA</t>
  </si>
  <si>
    <t>5003625 - BRASPRESS TRANSPORTES URGENTES LTDA</t>
  </si>
  <si>
    <t>5001657 - SEQUOIA LOGISTICA E TRANSPORTES LTD</t>
  </si>
  <si>
    <t>NS Jan.</t>
  </si>
  <si>
    <t>5004111 - CLICK-RODO ENTREGAS LTDA</t>
  </si>
  <si>
    <t>5004147 - CLICK - RODO ENTREGAS LTDA</t>
  </si>
  <si>
    <t>5004101 - UNIDOCK'S ASSESSORIA E LOGISTICA DE</t>
  </si>
  <si>
    <t>5003972 - ICARO EXPRESS LOGISTICA LTDA</t>
  </si>
  <si>
    <t>NS Informação</t>
  </si>
  <si>
    <t>NS Devolução</t>
  </si>
  <si>
    <t>5004215 - BRASIL WEB TRANSPORTES E LOGISTICA</t>
  </si>
  <si>
    <t>5004042 - BRASIL WEB TRANSPORTES E LOGISTICA</t>
  </si>
  <si>
    <t>5003921 - BRASPRESS TRANSPORTES URGENTES LTDA</t>
  </si>
  <si>
    <t>% NS YTD'24</t>
  </si>
  <si>
    <t>NS Fev.</t>
  </si>
  <si>
    <t>NS Mar.</t>
  </si>
  <si>
    <t>NS Abr.</t>
  </si>
  <si>
    <t>NS Mai.</t>
  </si>
  <si>
    <t>NS Jun.</t>
  </si>
  <si>
    <t>NS Jul.</t>
  </si>
  <si>
    <t>NS Ago.</t>
  </si>
  <si>
    <t>NS Set</t>
  </si>
  <si>
    <t>Média de % NS YTD'24</t>
  </si>
  <si>
    <t>Média de Meta</t>
  </si>
  <si>
    <t>NS Nov</t>
  </si>
  <si>
    <t>NS Out</t>
  </si>
  <si>
    <t xml:space="preserve">META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</si>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</sst>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10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sz val="10"/>
      <color indexed="8"/>
      <name val="Arial"/>
      <family val="2"/>
    </font>
    <font>
      <b/>
      <sz val="8"/>
      <color theme="1"/>
      <name val="Calibri"/>
      <family val="2"/>
      <scheme val="minor"/>
    </font>
    <font>
      <sz val="8"/>
      <name val="Arial"/>
      <family val="2"/>
    </font>
    <font>
      <sz val="9"/>
      <color theme="1"/>
      <name val="Calibri"/>
      <family val="2"/>
      <scheme val="minor"/>
    </font>
    <font>
      <sz val="8"/>
      <color rgb="FF000000"/>
      <name val="Calibri"/>
      <family val="2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3" fillId="2" borderId="1" applyNumberFormat="0">
      <alignment horizontal="left" vertical="center"/>
    </xf>
    <xf numFmtId="0" fontId="2" fillId="3" borderId="2" applyNumberFormat="0" applyProtection="0">
      <alignment horizontal="left" vertical="center" indent="1"/>
    </xf>
    <xf numFmtId="4" fontId="4" fillId="4" borderId="2" applyNumberFormat="0" applyProtection="0">
      <alignment horizontal="right" vertical="center"/>
    </xf>
    <xf numFmtId="0" fontId="2" fillId="3" borderId="2" applyNumberFormat="0" applyProtection="0">
      <alignment horizontal="left" vertical="center" indent="1"/>
    </xf>
    <xf numFmtId="0" fontId="2" fillId="3" borderId="2" applyNumberFormat="0" applyProtection="0">
      <alignment horizontal="left" vertical="center" indent="1"/>
    </xf>
  </cellStyleXfs>
  <cellXfs count="37">
    <xf numFmtId="0" fontId="0" fillId="0" borderId="0" xfId="0"/>
    <xf numFmtId="0" fontId="5" fillId="6" borderId="3" xfId="0" applyFont="1" applyFill="1" applyBorder="1" applyAlignment="1">
      <alignment horizontal="center" vertical="center"/>
    </xf>
    <xf numFmtId="9" fontId="5" fillId="6" borderId="3" xfId="1" applyFont="1" applyFill="1" applyBorder="1" applyAlignment="1">
      <alignment horizontal="center" vertical="center"/>
    </xf>
    <xf numFmtId="0" fontId="5" fillId="6" borderId="4" xfId="0" applyNumberFormat="1" applyFont="1" applyFill="1" applyBorder="1" applyAlignment="1">
      <alignment horizontal="center" vertical="center"/>
    </xf>
    <xf numFmtId="9" fontId="5" fillId="6" borderId="4" xfId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/>
    </xf>
    <xf numFmtId="9" fontId="6" fillId="7" borderId="0" xfId="1" applyFont="1" applyFill="1" applyAlignment="1">
      <alignment horizontal="center"/>
    </xf>
    <xf numFmtId="0" fontId="6" fillId="7" borderId="0" xfId="0" applyFont="1" applyFill="1"/>
    <xf numFmtId="9" fontId="6" fillId="5" borderId="0" xfId="1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6" fillId="8" borderId="0" xfId="0" applyFont="1" applyFill="1" applyAlignment="1">
      <alignment horizontal="center"/>
    </xf>
    <xf numFmtId="0" fontId="6" fillId="8" borderId="0" xfId="0" applyFont="1" applyFill="1"/>
    <xf numFmtId="10" fontId="6" fillId="7" borderId="0" xfId="1" applyNumberFormat="1" applyFont="1" applyFill="1" applyAlignment="1">
      <alignment horizontal="center"/>
    </xf>
    <xf numFmtId="0" fontId="6" fillId="9" borderId="0" xfId="0" applyFont="1" applyFill="1" applyAlignment="1">
      <alignment horizontal="center"/>
    </xf>
    <xf numFmtId="0" fontId="6" fillId="9" borderId="0" xfId="0" applyNumberFormat="1" applyFont="1" applyFill="1" applyAlignment="1">
      <alignment horizontal="left"/>
    </xf>
    <xf numFmtId="3" fontId="7" fillId="0" borderId="0" xfId="0" applyNumberFormat="1" applyFont="1" applyAlignment="1">
      <alignment horizontal="center"/>
    </xf>
    <xf numFmtId="3" fontId="5" fillId="6" borderId="4" xfId="0" applyNumberFormat="1" applyFont="1" applyFill="1" applyBorder="1" applyAlignment="1">
      <alignment horizontal="center" vertical="center"/>
    </xf>
    <xf numFmtId="3" fontId="6" fillId="5" borderId="0" xfId="0" applyNumberFormat="1" applyFont="1" applyFill="1" applyAlignment="1">
      <alignment horizontal="center"/>
    </xf>
    <xf numFmtId="164" fontId="5" fillId="6" borderId="4" xfId="1" applyNumberFormat="1" applyFont="1" applyFill="1" applyBorder="1" applyAlignment="1">
      <alignment horizontal="center" vertical="center"/>
    </xf>
    <xf numFmtId="164" fontId="6" fillId="7" borderId="0" xfId="1" applyNumberFormat="1" applyFont="1" applyFill="1" applyAlignment="1">
      <alignment horizontal="center"/>
    </xf>
    <xf numFmtId="164" fontId="6" fillId="5" borderId="0" xfId="1" applyNumberFormat="1" applyFont="1" applyFill="1" applyAlignment="1">
      <alignment horizontal="center"/>
    </xf>
    <xf numFmtId="10" fontId="5" fillId="6" borderId="4" xfId="1" applyNumberFormat="1" applyFont="1" applyFill="1" applyBorder="1" applyAlignment="1">
      <alignment horizontal="center" vertical="center"/>
    </xf>
    <xf numFmtId="10" fontId="6" fillId="5" borderId="0" xfId="1" applyNumberFormat="1" applyFont="1" applyFill="1" applyAlignment="1">
      <alignment horizontal="center"/>
    </xf>
    <xf numFmtId="10" fontId="6" fillId="5" borderId="0" xfId="0" applyNumberFormat="1" applyFon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7" fillId="0" borderId="0" xfId="0" applyNumberFormat="1" applyFont="1" applyAlignment="1">
      <alignment horizontal="center"/>
    </xf>
    <xf numFmtId="0" fontId="6" fillId="5" borderId="0" xfId="1" applyNumberFormat="1" applyFont="1" applyFill="1" applyAlignment="1">
      <alignment horizontal="center"/>
    </xf>
    <xf numFmtId="10" fontId="6" fillId="5" borderId="0" xfId="1" applyNumberFormat="1" applyFont="1" applyFill="1" applyAlignment="1"/>
    <xf numFmtId="9" fontId="0" fillId="0" borderId="0" xfId="0" applyNumberFormat="1"/>
    <xf numFmtId="9" fontId="6" fillId="7" borderId="0" xfId="1" applyNumberFormat="1" applyFont="1" applyFill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9" fillId="0" borderId="5" xfId="0" applyFont="1" applyBorder="1" applyAlignment="1">
      <alignment horizontal="center"/>
    </xf>
    <xf numFmtId="9" fontId="0" fillId="0" borderId="0" xfId="1" applyFont="1"/>
  </cellXfs>
  <cellStyles count="8">
    <cellStyle name="DEYVED" xfId="3"/>
    <cellStyle name="Normal" xfId="0" builtinId="0"/>
    <cellStyle name="Normal 2" xfId="2"/>
    <cellStyle name="Porcentagem" xfId="1" builtinId="5"/>
    <cellStyle name="SAPBEXchaText" xfId="4"/>
    <cellStyle name="SAPBEXstdData" xfId="5"/>
    <cellStyle name="SAPBEXstdItem" xfId="6"/>
    <cellStyle name="SAPBEXstdItemX" xfId="7"/>
  </cellStyles>
  <dxfs count="90"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4" formatCode="0.00%"/>
    </dxf>
    <dxf>
      <numFmt numFmtId="164" formatCode="0.0%"/>
    </dxf>
    <dxf>
      <numFmt numFmtId="13" formatCode="0%"/>
    </dxf>
  </dxfs>
  <tableStyles count="0" defaultTableStyle="TableStyleMedium9" defaultPivotStyle="PivotStyleLight16"/>
  <colors>
    <mruColors>
      <color rgb="FFCC0000"/>
      <color rgb="FFDE3B2E"/>
      <color rgb="FFFFFF99"/>
      <color rgb="FF00CC00"/>
      <color rgb="FFFF8585"/>
      <color rgb="FF00D25F"/>
      <color rgb="FFFF5050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[NS Gráfico.xlsm]Din nova!Tabela dinâmica1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</c:pivotFmt>
      <c:pivotFmt>
        <c:idx val="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</c:pivotFmt>
      <c:pivotFmt>
        <c:idx val="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50000"/>
            </a:schemeClr>
          </a:solidFill>
          <a:ln>
            <a:noFill/>
          </a:ln>
          <a:effectLst/>
        </c:spPr>
      </c:pivotFmt>
      <c:pivotFmt>
        <c:idx val="41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bg1">
              <a:lumMod val="50000"/>
            </a:schemeClr>
          </a:solidFill>
          <a:ln>
            <a:noFill/>
          </a:ln>
          <a:effectLst/>
        </c:spPr>
      </c:pivotFmt>
      <c:pivotFmt>
        <c:idx val="43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50000"/>
            </a:schemeClr>
          </a:solidFill>
          <a:ln>
            <a:noFill/>
          </a:ln>
          <a:effectLst/>
        </c:spPr>
      </c:pivotFmt>
      <c:pivotFmt>
        <c:idx val="45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6"/>
        <c:spPr>
          <a:solidFill>
            <a:schemeClr val="bg1">
              <a:lumMod val="50000"/>
            </a:schemeClr>
          </a:solidFill>
          <a:ln>
            <a:noFill/>
          </a:ln>
          <a:effectLst/>
        </c:spPr>
      </c:pivotFmt>
      <c:pivotFmt>
        <c:idx val="47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48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49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50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51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1249892857073712"/>
          <c:y val="0.14573673870333989"/>
          <c:w val="0.8718542440831144"/>
          <c:h val="0.676784493293937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'Din nova'!$B$4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558-4754-ADD0-159F9A7C7F1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558-4754-ADD0-159F9A7C7F1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558-4754-ADD0-159F9A7C7F1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603-481A-B632-057A3427C5F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A25-41C2-8D2F-29042499F610}"/>
              </c:ext>
            </c:extLst>
          </c:dPt>
          <c:dPt>
            <c:idx val="12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603-481A-B632-057A3427C5F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'Din nova'!$A$5:$A$17</c:f>
              <c:strCache>
                <c:ptCount val="13"/>
                <c:pt idx="0">
                  <c:v>NS Jan.</c:v>
                </c:pt>
                <c:pt idx="1">
                  <c:v>NS Fev.</c:v>
                </c:pt>
                <c:pt idx="2">
                  <c:v>NS Mar.</c:v>
                </c:pt>
                <c:pt idx="3">
                  <c:v>NS Abr.</c:v>
                </c:pt>
                <c:pt idx="4">
                  <c:v>NS Mai.</c:v>
                </c:pt>
                <c:pt idx="5">
                  <c:v>NS Jun.</c:v>
                </c:pt>
                <c:pt idx="6">
                  <c:v>NS Jul.</c:v>
                </c:pt>
                <c:pt idx="7">
                  <c:v>NS Ago.</c:v>
                </c:pt>
                <c:pt idx="8">
                  <c:v>NS Set</c:v>
                </c:pt>
                <c:pt idx="9">
                  <c:v>NS Out</c:v>
                </c:pt>
                <c:pt idx="10">
                  <c:v>NS Nov</c:v>
                </c:pt>
                <c:pt idx="11">
                  <c:v>Média de % NS YTD'24</c:v>
                </c:pt>
                <c:pt idx="12">
                  <c:v>Média de Meta</c:v>
                </c:pt>
              </c:strCache>
            </c:strRef>
          </c:cat>
          <c:val>
            <c:numRef>
              <c:f>'Din nova'!$B$5:$B$17</c:f>
              <c:numCache>
                <c:formatCode>0.00%</c:formatCode>
                <c:ptCount val="13"/>
                <c:pt idx="0">
                  <c:v>0.90999999999999992</c:v>
                </c:pt>
                <c:pt idx="1">
                  <c:v>0.97649572649572647</c:v>
                </c:pt>
                <c:pt idx="2">
                  <c:v>0.95205479452054798</c:v>
                </c:pt>
                <c:pt idx="3">
                  <c:v>0.83397683397683398</c:v>
                </c:pt>
                <c:pt idx="4">
                  <c:v>1</c:v>
                </c:pt>
                <c:pt idx="5">
                  <c:v>0.92634560906515584</c:v>
                </c:pt>
                <c:pt idx="6">
                  <c:v>0.98168498168498164</c:v>
                </c:pt>
                <c:pt idx="7">
                  <c:v>0.99411764705882355</c:v>
                </c:pt>
                <c:pt idx="8">
                  <c:v>1</c:v>
                </c:pt>
                <c:pt idx="9">
                  <c:v>#N/A</c:v>
                </c:pt>
                <c:pt idx="10">
                  <c:v>#N/A</c:v>
                </c:pt>
                <c:pt idx="11">
                  <c:v>0.94789422135161605</c:v>
                </c:pt>
                <c:pt idx="12">
                  <c:v>0.94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603-481A-B632-057A3427C5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94732304"/>
        <c:axId val="1194730224"/>
      </c:barChart>
      <c:catAx>
        <c:axId val="119473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4730224"/>
        <c:crosses val="autoZero"/>
        <c:auto val="1"/>
        <c:lblAlgn val="ctr"/>
        <c:lblOffset val="100"/>
        <c:noMultiLvlLbl val="0"/>
      </c:catAx>
      <c:valAx>
        <c:axId val="11947302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4732304"/>
        <c:crosses val="autoZero"/>
        <c:crossBetween val="between"/>
        <c:minorUnit val="2.0000000000000004E-2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1945" footer="0.31496062000001945"/>
    <c:pageSetup orientation="portrait"/>
  </c:printSettings>
  <c:userShapes r:id="rId1"/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257175</xdr:colOff>
      <xdr:row>0</xdr:row>
      <xdr:rowOff>60325</xdr:rowOff>
    </xdr:from>
    <xdr:to>
      <xdr:col>15</xdr:col>
      <xdr:colOff>452438</xdr:colOff>
      <xdr:row>20</xdr:row>
      <xdr:rowOff>117475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209550</xdr:colOff>
      <xdr:row>0</xdr:row>
      <xdr:rowOff>66675</xdr:rowOff>
    </xdr:from>
    <xdr:to>
      <xdr:col>6</xdr:col>
      <xdr:colOff>209550</xdr:colOff>
      <xdr:row>15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dicador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dic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78150" y="66675"/>
              <a:ext cx="1828800" cy="23336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136524</xdr:colOff>
      <xdr:row>0</xdr:row>
      <xdr:rowOff>0</xdr:rowOff>
    </xdr:from>
    <xdr:to>
      <xdr:col>2</xdr:col>
      <xdr:colOff>889000</xdr:colOff>
      <xdr:row>20</xdr:row>
      <xdr:rowOff>139700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od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524" y="0"/>
              <a:ext cx="2422526" cy="3314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0.35404</cdr:x>
      <cdr:y>0.01764</cdr:y>
    </cdr:from>
    <cdr:to>
      <cdr:x>0.63711</cdr:x>
      <cdr:y>0.0891</cdr:y>
    </cdr:to>
    <cdr:sp macro="" textlink="'Din nova'!$B$1">
      <cdr:nvSpPr>
        <cdr:cNvPr id="2" name="Retângulo 1"/>
        <cdr:cNvSpPr/>
      </cdr:nvSpPr>
      <cdr:spPr bwMode="auto">
        <a:xfrm xmlns:a="http://schemas.openxmlformats.org/drawingml/2006/main">
          <a:off x="2006844" y="57883"/>
          <a:ext cx="1604596" cy="23446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pPr algn="ctr"/>
          <a:fld id="{E2B4BDDA-B923-4E98-86C8-E80FC9E4271E}" type="TxLink">
            <a:rPr lang="en-US" sz="14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NS Informação</a:t>
          </a:fld>
          <a:endParaRPr lang="pt-BR" sz="1400" b="1"/>
        </a:p>
      </cdr:txBody>
    </cdr:sp>
  </cdr:relSizeAnchor>
  <cdr:relSizeAnchor xmlns:cdr="http://schemas.openxmlformats.org/drawingml/2006/chartDrawing">
    <cdr:from>
      <cdr:x>0.35404</cdr:x>
      <cdr:y>0.01764</cdr:y>
    </cdr:from>
    <cdr:to>
      <cdr:x>0.63711</cdr:x>
      <cdr:y>0.0891</cdr:y>
    </cdr:to>
    <cdr:sp macro="" textlink="'Din nova'!$B$1">
      <cdr:nvSpPr>
        <cdr:cNvPr id="3" name="Retângulo 1">
          <a:extLst xmlns:a="http://schemas.openxmlformats.org/drawingml/2006/main">
            <a:ext uri="{FF2B5EF4-FFF2-40B4-BE49-F238E27FC236}">
              <a16:creationId xmlns:a16="http://schemas.microsoft.com/office/drawing/2014/main" id="{F80AF0D3-86AD-40AF-84F1-9D5B23D65821}"/>
            </a:ext>
          </a:extLst>
        </cdr:cNvPr>
        <cdr:cNvSpPr/>
      </cdr:nvSpPr>
      <cdr:spPr bwMode="auto">
        <a:xfrm xmlns:a="http://schemas.openxmlformats.org/drawingml/2006/main">
          <a:off x="2006844" y="57883"/>
          <a:ext cx="1604596" cy="23446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pPr algn="ctr"/>
          <a:fld id="{E2B4BDDA-B923-4E98-86C8-E80FC9E4271E}" type="TxLink">
            <a:rPr lang="en-US" sz="14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NS Informação</a:t>
          </a:fld>
          <a:endParaRPr lang="pt-BR" sz="1400" b="1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39NAE1\DriveF\drivef\Gr_Trab\Quality_Info\-%20GRAEM\2005\INDICE%20IRC\IRC_MI\IRC_GER%20Unid%20Jlle%20MI%20-%20exeto%20Maestr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 do Field 6 Meses"/>
      <sheetName val="Dados do Field 15 Meses"/>
      <sheetName val="Dados"/>
      <sheetName val="GRÁFICO"/>
      <sheetName val="GRÁFICO (4meses)"/>
      <sheetName val="HP_PPT"/>
      <sheetName val="Plan8"/>
      <sheetName val="GRÁFICO sem meta"/>
      <sheetName val="ZMEP03_120209"/>
      <sheetName val="Base agrupada"/>
      <sheetName val="Plan1"/>
    </sheetNames>
    <sheetDataSet>
      <sheetData sheetId="0"/>
      <sheetData sheetId="1" refreshError="1">
        <row r="3">
          <cell r="A3" t="str">
            <v>Item</v>
          </cell>
          <cell r="B3" t="str">
            <v>Ano</v>
          </cell>
          <cell r="C3" t="str">
            <v>Chamados</v>
          </cell>
          <cell r="D3" t="str">
            <v>Produção</v>
          </cell>
          <cell r="E3" t="str">
            <v>Field (%)</v>
          </cell>
        </row>
        <row r="4">
          <cell r="A4">
            <v>1</v>
          </cell>
          <cell r="B4">
            <v>2003</v>
          </cell>
          <cell r="C4">
            <v>105018</v>
          </cell>
          <cell r="D4">
            <v>1662523</v>
          </cell>
          <cell r="E4">
            <v>6.32</v>
          </cell>
        </row>
        <row r="5">
          <cell r="A5">
            <v>2</v>
          </cell>
          <cell r="B5">
            <v>2004</v>
          </cell>
          <cell r="C5">
            <v>13243</v>
          </cell>
          <cell r="D5">
            <v>190000</v>
          </cell>
          <cell r="E5">
            <v>6.97</v>
          </cell>
        </row>
        <row r="6">
          <cell r="B6" t="str">
            <v>Total</v>
          </cell>
          <cell r="C6">
            <v>118261</v>
          </cell>
          <cell r="D6">
            <v>1852523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3">
          <cell r="A3">
            <v>55158</v>
          </cell>
        </row>
      </sheetData>
      <sheetData sheetId="9"/>
      <sheetData sheetId="1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TEUS LOPES" refreshedDate="45937.696316550922" createdVersion="6" refreshedVersion="6" minRefreshableVersion="3" recordCount="52">
  <cacheSource type="worksheet">
    <worksheetSource ref="A1:AP53" sheet="Base_Peças"/>
  </cacheSource>
  <cacheFields count="61">
    <cacheField name="Indicador" numFmtId="0">
      <sharedItems count="3">
        <s v="NS Informação"/>
        <s v="NS Devolução"/>
        <s v="NS Coleta"/>
      </sharedItems>
    </cacheField>
    <cacheField name="Meta" numFmtId="9">
      <sharedItems containsSemiMixedTypes="0" containsString="0" containsNumber="1" minValue="0.94" maxValue="0.94"/>
    </cacheField>
    <cacheField name="Cod" numFmtId="0">
      <sharedItems count="19">
        <s v="5004111 - CLICK-RODO ENTREGAS LTDA"/>
        <s v="5004147 - CLICK - RODO ENTREGAS LTDA"/>
        <s v="5004101 - UNIDOCK'S ASSESSORIA E LOGISTICA DE"/>
        <s v="5002573 - CARVALIMA TRANSPORTES LTDA"/>
        <s v="5002858 - FAVORITA TRANSPORTES LTDA"/>
        <s v="5002977 - DIRECIONAL TRANSPORTES E LOGISTICA"/>
        <s v="5003024 - RODOBRAS TRANSPORTES RODOVIARIOS LT"/>
        <s v="5003176 - J C THEDIN TRANSPORTES LTDA"/>
        <s v="5003273 - METAR LOGÍSTICA LTDA"/>
        <s v="5003294 - DIRECT EXPRESS LOGISTICA INTEGRADA"/>
        <s v="5003329 - TEX TRANSP.ENCOMENDAS EXPRESS LT"/>
        <s v="5003254 - TMA TRANSPORTE LOTACAO E LOGISTICA"/>
        <s v="5003482 - TMA TRANSPORTE LOTACAO E LOGISTICA"/>
        <s v="5003625 - BRASPRESS TRANSPORTES URGENTES LTDA"/>
        <s v="5001657 - SEQUOIA LOGISTICA E TRANSPORTES LTD"/>
        <s v="5003972 - ICARO EXPRESS LOGISTICA LTDA"/>
        <s v="5004215 - BRASIL WEB TRANSPORTES E LOGISTICA"/>
        <s v="5004042 - BRASIL WEB TRANSPORTES E LOGISTICA"/>
        <s v="5003921 - BRASPRESS TRANSPORTES URGENTES LTDA"/>
      </sharedItems>
    </cacheField>
    <cacheField name="Qtde Linhas - Janeiro" numFmtId="3">
      <sharedItems containsString="0" containsBlank="1" containsNumber="1" containsInteger="1" minValue="25" maxValue="583"/>
    </cacheField>
    <cacheField name="Dentro do Prazo - Janeiro" numFmtId="3">
      <sharedItems containsString="0" containsBlank="1" containsNumber="1" minValue="23" maxValue="582"/>
    </cacheField>
    <cacheField name="% NS Jan" numFmtId="10">
      <sharedItems containsString="0" containsBlank="1" containsNumber="1" minValue="0.37953795379537952" maxValue="1"/>
    </cacheField>
    <cacheField name="Qtde Linhas - Fevereiro" numFmtId="0">
      <sharedItems containsString="0" containsBlank="1" containsNumber="1" containsInteger="1" minValue="3" maxValue="639"/>
    </cacheField>
    <cacheField name="Dentro do Prazo - Fevereiro" numFmtId="0">
      <sharedItems containsString="0" containsBlank="1" containsNumber="1" minValue="3" maxValue="423"/>
    </cacheField>
    <cacheField name="% NS Fev" numFmtId="10">
      <sharedItems containsString="0" containsBlank="1" containsNumber="1" minValue="0.14049586776859505" maxValue="1"/>
    </cacheField>
    <cacheField name="Qtde Linhas - Março" numFmtId="0">
      <sharedItems containsString="0" containsBlank="1" containsNumber="1" containsInteger="1" minValue="2" maxValue="365"/>
    </cacheField>
    <cacheField name="Dentro do Prazo - Março" numFmtId="0">
      <sharedItems containsString="0" containsBlank="1" containsNumber="1" containsInteger="1" minValue="1" maxValue="343"/>
    </cacheField>
    <cacheField name="% NS Mar" numFmtId="0">
      <sharedItems containsString="0" containsBlank="1" containsNumber="1" minValue="0.10280373831775701" maxValue="1"/>
    </cacheField>
    <cacheField name="Qtde Linhas - Abril" numFmtId="0">
      <sharedItems containsString="0" containsBlank="1" containsNumber="1" containsInteger="1" minValue="7" maxValue="561"/>
    </cacheField>
    <cacheField name="Dentro do Prazo - Abril" numFmtId="0">
      <sharedItems containsString="0" containsBlank="1" containsNumber="1" containsInteger="1" minValue="0" maxValue="319"/>
    </cacheField>
    <cacheField name="% NS Abr" numFmtId="0">
      <sharedItems containsString="0" containsBlank="1" containsNumber="1" minValue="0" maxValue="0.95454545454545459"/>
    </cacheField>
    <cacheField name="Qtde Linhas - Maio" numFmtId="0">
      <sharedItems containsString="0" containsBlank="1" containsNumber="1" containsInteger="1" minValue="21" maxValue="636"/>
    </cacheField>
    <cacheField name="Dentro do Prazo - Maio" numFmtId="0">
      <sharedItems containsString="0" containsBlank="1" containsNumber="1" containsInteger="1" minValue="6" maxValue="379"/>
    </cacheField>
    <cacheField name="% NS Mai" numFmtId="0">
      <sharedItems containsString="0" containsBlank="1" containsNumber="1" minValue="0.13025210084033614" maxValue="1"/>
    </cacheField>
    <cacheField name="Qtde Linhas - Junho" numFmtId="0">
      <sharedItems containsString="0" containsBlank="1" containsNumber="1" containsInteger="1" minValue="9" maxValue="938"/>
    </cacheField>
    <cacheField name="Dentro do Prazo - Junho" numFmtId="0">
      <sharedItems containsString="0" containsBlank="1" containsNumber="1" containsInteger="1" minValue="4" maxValue="512"/>
    </cacheField>
    <cacheField name="% NS Jun" numFmtId="10">
      <sharedItems containsString="0" containsBlank="1" containsNumber="1" minValue="6.9767441860465115E-2" maxValue="1"/>
    </cacheField>
    <cacheField name="Qtde Linhas - Julho" numFmtId="0">
      <sharedItems containsString="0" containsBlank="1" containsNumber="1" containsInteger="1" minValue="31" maxValue="457"/>
    </cacheField>
    <cacheField name="Dentro do Prazo - Julho" numFmtId="0">
      <sharedItems containsString="0" containsBlank="1" containsNumber="1" containsInteger="1" minValue="14" maxValue="380"/>
    </cacheField>
    <cacheField name="% NS Jul" numFmtId="10">
      <sharedItems containsString="0" containsBlank="1" containsNumber="1" minValue="0.45" maxValue="0.99"/>
    </cacheField>
    <cacheField name="Qtde Linhas - Agosto" numFmtId="0">
      <sharedItems containsString="0" containsBlank="1" containsNumber="1" containsInteger="1" minValue="0" maxValue="896"/>
    </cacheField>
    <cacheField name="Dentro do Prazo - Agosto" numFmtId="0">
      <sharedItems containsString="0" containsBlank="1" containsNumber="1" containsInteger="1" minValue="0" maxValue="639"/>
    </cacheField>
    <cacheField name="% NS Ago" numFmtId="10">
      <sharedItems containsString="0" containsBlank="1" containsNumber="1" minValue="0" maxValue="1"/>
    </cacheField>
    <cacheField name="Qtde Linhas - Setembro" numFmtId="0">
      <sharedItems containsString="0" containsBlank="1" containsNumber="1" containsInteger="1" minValue="1" maxValue="802"/>
    </cacheField>
    <cacheField name="Dentro do Prazo - Setembro" numFmtId="0">
      <sharedItems containsString="0" containsBlank="1" containsNumber="1" containsInteger="1" minValue="0" maxValue="647"/>
    </cacheField>
    <cacheField name="% NS Set" numFmtId="10">
      <sharedItems containsString="0" containsBlank="1" containsNumber="1" minValue="0" maxValue="1"/>
    </cacheField>
    <cacheField name="Qtde Linhas - Outubro" numFmtId="0">
      <sharedItems containsNonDate="0" containsString="0" containsBlank="1"/>
    </cacheField>
    <cacheField name="Dentro do Prazo - Outubro" numFmtId="0">
      <sharedItems containsNonDate="0" containsString="0" containsBlank="1"/>
    </cacheField>
    <cacheField name="% NS Out" numFmtId="10">
      <sharedItems containsNonDate="0" containsString="0" containsBlank="1"/>
    </cacheField>
    <cacheField name="Qtde Linhas - Novembro" numFmtId="0">
      <sharedItems containsNonDate="0" containsString="0" containsBlank="1"/>
    </cacheField>
    <cacheField name="Dentro do Prazo - Novembro" numFmtId="0">
      <sharedItems containsNonDate="0" containsString="0" containsBlank="1"/>
    </cacheField>
    <cacheField name="% NS Nov" numFmtId="10">
      <sharedItems containsNonDate="0" containsString="0" containsBlank="1"/>
    </cacheField>
    <cacheField name="Qtde Linhas - Dezembro" numFmtId="0">
      <sharedItems containsNonDate="0" containsString="0" containsBlank="1"/>
    </cacheField>
    <cacheField name="Dentro do Prazo - Dezembro" numFmtId="0">
      <sharedItems containsNonDate="0" containsString="0" containsBlank="1"/>
    </cacheField>
    <cacheField name="% NS Dez" numFmtId="10">
      <sharedItems containsNonDate="0" containsString="0" containsBlank="1"/>
    </cacheField>
    <cacheField name="Qtde Linhas - YTD" numFmtId="3">
      <sharedItems containsString="0" containsBlank="1" containsNumber="1" containsInteger="1" minValue="0" maxValue="4634"/>
    </cacheField>
    <cacheField name="Dentro do Prazo - YTD" numFmtId="3">
      <sharedItems containsString="0" containsBlank="1" containsNumber="1" minValue="0" maxValue="3309"/>
    </cacheField>
    <cacheField name="% NS YTD'24" numFmtId="10">
      <sharedItems containsMixedTypes="1" containsNumber="1" minValue="0.26635784597568035" maxValue="0.96857142857142853"/>
    </cacheField>
    <cacheField name="3 NS Mar." numFmtId="0" formula="'Dentro do Prazo - Março'/'Qtde Linhas - Março'" databaseField="0"/>
    <cacheField name="1 NS Jan." numFmtId="0" formula="'Dentro do Prazo - Janeiro'/'Qtde Linhas - Janeiro'" databaseField="0"/>
    <cacheField name="4 NS Abr." numFmtId="0" formula="'Dentro do Prazo - Abril'/'Qtde Linhas - Abril'" databaseField="0"/>
    <cacheField name="5 NS Mai." numFmtId="0" formula="'Dentro do Prazo - Maio'/'Qtde Linhas - Maio'" databaseField="0"/>
    <cacheField name="2 NS Fev." numFmtId="0" formula="'Dentro do Prazo - Fevereiro'/'Qtde Linhas - Fevereiro'" databaseField="0"/>
    <cacheField name="% NS YTD" numFmtId="0" formula="#NAME?/#NAME?" databaseField="0"/>
    <cacheField name="%Meta" numFmtId="0" formula="Meta" databaseField="0"/>
    <cacheField name="6 NS Jun." numFmtId="0" formula="'Dentro do Prazo - Junho'/'Qtde Linhas - Junho'" databaseField="0"/>
    <cacheField name="7 NS Jul." numFmtId="0" formula="'Dentro do Prazo - Julho'/'Qtde Linhas - Julho'" databaseField="0"/>
    <cacheField name="8 NS Ago." numFmtId="0" formula="'Dentro do Prazo - Agosto'/'Qtde Linhas - Agosto'" databaseField="0"/>
    <cacheField name="9 NS Set" numFmtId="0" formula="'Dentro do Prazo - Setembro'/'Qtde Linhas - Setembro'" databaseField="0"/>
    <cacheField name="10 NS OUT." numFmtId="0" formula="'Dentro do Prazo - Outubro'/'Qtde Linhas - Outubro'" databaseField="0"/>
    <cacheField name="11 NS Nov" numFmtId="0" formula="'Dentro do Prazo - Novembro'/'Qtde Linhas - Novembro'" databaseField="0"/>
    <cacheField name="12 Dez" numFmtId="0" formula="'Qtde Linhas - Dezembro'/'Dentro do Prazo - Dezembro'" databaseField="0"/>
    <cacheField name="12 NS Dez" numFmtId="0" formula="'Dentro do Prazo - Dezembro'/'Qtde Linhas - Dezembro'" databaseField="0"/>
    <cacheField name="NSJan" numFmtId="0" formula="'Dentro do Prazo - Janeiro'/'Qtde Linhas - Janeiro'" databaseField="0"/>
    <cacheField name="NS Fev2" numFmtId="0" formula="'Dentro do Prazo - Fevereiro'/'Qtde Linhas - Fevereiro'" databaseField="0"/>
    <cacheField name="NS Mar2" numFmtId="0" formula="'Dentro do Prazo - Março'/'Qtde Linhas - Março'" databaseField="0"/>
    <cacheField name="NS Abr2" numFmtId="0" formula="'Dentro do Prazo - Abril'/'Qtde Linhas - Abril'" databaseField="0"/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n v="0.94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0"/>
    <n v="0.94"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0"/>
    <n v="0.94"/>
    <x v="2"/>
    <n v="303"/>
    <n v="164"/>
    <n v="0.54125412541254125"/>
    <n v="270"/>
    <n v="222"/>
    <n v="0.82"/>
    <n v="292"/>
    <n v="241"/>
    <n v="0.82534246575342463"/>
    <n v="235"/>
    <n v="120"/>
    <n v="0.51063829787234039"/>
    <n v="366"/>
    <n v="345"/>
    <n v="0.94262295081967218"/>
    <n v="250"/>
    <n v="94"/>
    <n v="0.376"/>
    <n v="167"/>
    <n v="149"/>
    <n v="0.89219999999999999"/>
    <n v="149"/>
    <n v="141"/>
    <n v="0.94630000000000003"/>
    <n v="134"/>
    <n v="20"/>
    <n v="0.14925373134328357"/>
    <m/>
    <m/>
    <m/>
    <m/>
    <m/>
    <m/>
    <m/>
    <m/>
    <m/>
    <n v="2166"/>
    <n v="1496"/>
    <n v="0.69067405355493994"/>
  </r>
  <r>
    <x v="0"/>
    <n v="0.94"/>
    <x v="3"/>
    <n v="25"/>
    <n v="25"/>
    <n v="1"/>
    <n v="6"/>
    <n v="3"/>
    <n v="0.5"/>
    <n v="26"/>
    <n v="17"/>
    <n v="0.65384615384615385"/>
    <n v="25"/>
    <n v="16"/>
    <n v="0.64"/>
    <n v="21"/>
    <n v="10"/>
    <n v="0.47619047619047616"/>
    <n v="11"/>
    <n v="11"/>
    <n v="1"/>
    <n v="31"/>
    <n v="14"/>
    <n v="0.45"/>
    <n v="2"/>
    <n v="0"/>
    <n v="0"/>
    <n v="23"/>
    <n v="16"/>
    <n v="0.69565217391304346"/>
    <m/>
    <m/>
    <m/>
    <m/>
    <m/>
    <m/>
    <m/>
    <m/>
    <m/>
    <n v="170"/>
    <n v="112"/>
    <n v="0.6588235294117647"/>
  </r>
  <r>
    <x v="0"/>
    <n v="0.94"/>
    <x v="4"/>
    <n v="263"/>
    <n v="250"/>
    <n v="0.95057034220532322"/>
    <n v="163"/>
    <n v="146"/>
    <n v="0.89570552147239269"/>
    <n v="104"/>
    <n v="89"/>
    <n v="0.85576923076923073"/>
    <n v="188"/>
    <n v="142"/>
    <n v="0.75531914893617025"/>
    <n v="340"/>
    <n v="330"/>
    <n v="0.97058823529411764"/>
    <n v="211"/>
    <n v="202"/>
    <n v="0.95734597156398105"/>
    <n v="270"/>
    <n v="268"/>
    <n v="0.99"/>
    <n v="203"/>
    <n v="201"/>
    <n v="0.99009999999999998"/>
    <n v="296"/>
    <n v="290"/>
    <n v="0.97972972972972971"/>
    <m/>
    <m/>
    <m/>
    <m/>
    <m/>
    <m/>
    <m/>
    <m/>
    <m/>
    <n v="2038"/>
    <n v="1918"/>
    <n v="0.94111874386653582"/>
  </r>
  <r>
    <x v="0"/>
    <n v="0.94"/>
    <x v="5"/>
    <m/>
    <m/>
    <m/>
    <m/>
    <m/>
    <m/>
    <m/>
    <m/>
    <m/>
    <m/>
    <m/>
    <m/>
    <m/>
    <m/>
    <m/>
    <m/>
    <m/>
    <m/>
    <m/>
    <m/>
    <m/>
    <m/>
    <m/>
    <m/>
    <n v="459"/>
    <n v="390"/>
    <m/>
    <m/>
    <m/>
    <m/>
    <m/>
    <m/>
    <m/>
    <m/>
    <m/>
    <m/>
    <m/>
    <m/>
    <s v=""/>
  </r>
  <r>
    <x v="0"/>
    <n v="0.94"/>
    <x v="6"/>
    <n v="402"/>
    <n v="221"/>
    <n v="0.54975124378109452"/>
    <n v="631"/>
    <n v="327"/>
    <n v="0.51822503961965138"/>
    <n v="308"/>
    <n v="108"/>
    <n v="0.35064935064935066"/>
    <n v="561"/>
    <n v="210"/>
    <n v="0.37433155080213903"/>
    <n v="556"/>
    <n v="254"/>
    <n v="0.45683453237410071"/>
    <n v="569"/>
    <n v="485"/>
    <n v="0.85237258347978906"/>
    <n v="447"/>
    <n v="308"/>
    <n v="0.69"/>
    <n v="563"/>
    <n v="462"/>
    <n v="0.82060390763765545"/>
    <n v="459"/>
    <n v="390"/>
    <n v="0.84967320261437906"/>
    <m/>
    <m/>
    <m/>
    <m/>
    <m/>
    <m/>
    <m/>
    <m/>
    <m/>
    <n v="4496"/>
    <n v="2765"/>
    <n v="0.614991103202847"/>
  </r>
  <r>
    <x v="0"/>
    <n v="0.94"/>
    <x v="7"/>
    <n v="210"/>
    <n v="191.1"/>
    <n v="0.90999999999999992"/>
    <n v="234"/>
    <n v="228.5"/>
    <n v="0.97649572649572647"/>
    <n v="146"/>
    <n v="139"/>
    <n v="0.95205479452054798"/>
    <n v="259"/>
    <n v="216"/>
    <n v="0.8992"/>
    <n v="207"/>
    <n v="207"/>
    <n v="1"/>
    <n v="353"/>
    <n v="327"/>
    <n v="0.92634560906515584"/>
    <n v="273"/>
    <n v="268"/>
    <n v="0.98"/>
    <n v="170"/>
    <n v="169"/>
    <n v="0.99629999999999996"/>
    <n v="190"/>
    <n v="190"/>
    <n v="1"/>
    <m/>
    <m/>
    <m/>
    <m/>
    <m/>
    <m/>
    <m/>
    <m/>
    <m/>
    <n v="2042"/>
    <n v="1935.6"/>
    <n v="0.94789422135161605"/>
  </r>
  <r>
    <x v="0"/>
    <n v="0.94"/>
    <x v="8"/>
    <m/>
    <m/>
    <m/>
    <n v="3"/>
    <n v="3"/>
    <m/>
    <n v="2"/>
    <n v="1"/>
    <n v="0.5"/>
    <n v="7"/>
    <n v="0"/>
    <n v="0"/>
    <m/>
    <m/>
    <m/>
    <m/>
    <m/>
    <m/>
    <m/>
    <m/>
    <m/>
    <m/>
    <m/>
    <m/>
    <n v="1"/>
    <n v="1"/>
    <m/>
    <m/>
    <m/>
    <m/>
    <m/>
    <m/>
    <m/>
    <m/>
    <m/>
    <m/>
    <n v="13"/>
    <n v="5"/>
    <n v="0.38461538461538464"/>
  </r>
  <r>
    <x v="0"/>
    <n v="0.94"/>
    <x v="9"/>
    <m/>
    <m/>
    <m/>
    <m/>
    <m/>
    <m/>
    <m/>
    <m/>
    <m/>
    <m/>
    <m/>
    <m/>
    <m/>
    <m/>
    <m/>
    <m/>
    <m/>
    <m/>
    <m/>
    <m/>
    <m/>
    <m/>
    <m/>
    <m/>
    <n v="177"/>
    <n v="135"/>
    <m/>
    <m/>
    <m/>
    <m/>
    <m/>
    <m/>
    <m/>
    <m/>
    <m/>
    <m/>
    <m/>
    <m/>
    <s v=""/>
  </r>
  <r>
    <x v="0"/>
    <n v="0.94"/>
    <x v="10"/>
    <m/>
    <m/>
    <m/>
    <m/>
    <m/>
    <m/>
    <m/>
    <m/>
    <m/>
    <m/>
    <m/>
    <m/>
    <m/>
    <m/>
    <m/>
    <m/>
    <m/>
    <m/>
    <m/>
    <m/>
    <m/>
    <m/>
    <m/>
    <m/>
    <n v="802"/>
    <n v="647"/>
    <m/>
    <m/>
    <m/>
    <m/>
    <m/>
    <m/>
    <m/>
    <m/>
    <m/>
    <m/>
    <m/>
    <m/>
    <s v=""/>
  </r>
  <r>
    <x v="0"/>
    <n v="0.94"/>
    <x v="11"/>
    <n v="583"/>
    <n v="576"/>
    <n v="0.98799313893653518"/>
    <n v="435"/>
    <n v="411"/>
    <n v="0.94482758620689655"/>
    <n v="365"/>
    <n v="291"/>
    <n v="0.79726027397260268"/>
    <n v="44"/>
    <n v="37"/>
    <n v="0.84090909090909094"/>
    <n v="25"/>
    <n v="24"/>
    <n v="0.96"/>
    <n v="34"/>
    <n v="12"/>
    <n v="0.35294117647058826"/>
    <m/>
    <m/>
    <m/>
    <n v="10"/>
    <n v="9"/>
    <n v="0.9"/>
    <n v="7"/>
    <n v="7"/>
    <n v="1"/>
    <m/>
    <m/>
    <m/>
    <m/>
    <m/>
    <m/>
    <m/>
    <m/>
    <m/>
    <n v="1503"/>
    <n v="1367"/>
    <n v="0.90951430472388561"/>
  </r>
  <r>
    <x v="0"/>
    <n v="0.94"/>
    <x v="12"/>
    <n v="317"/>
    <n v="257"/>
    <n v="0.81072555205047314"/>
    <n v="227"/>
    <n v="224"/>
    <n v="0.986784140969163"/>
    <n v="206"/>
    <n v="171"/>
    <n v="0.83009708737864074"/>
    <n v="221"/>
    <n v="96"/>
    <n v="0.43438914027149322"/>
    <n v="79"/>
    <n v="37"/>
    <n v="0.46835443037974683"/>
    <n v="26"/>
    <n v="20"/>
    <n v="0.76923076923076927"/>
    <m/>
    <m/>
    <m/>
    <n v="0"/>
    <n v="0"/>
    <n v="1"/>
    <n v="1"/>
    <n v="1"/>
    <n v="1"/>
    <m/>
    <m/>
    <m/>
    <m/>
    <m/>
    <m/>
    <m/>
    <m/>
    <m/>
    <n v="1077"/>
    <n v="806"/>
    <n v="0.74837511606313833"/>
  </r>
  <r>
    <x v="0"/>
    <n v="0.94"/>
    <x v="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</r>
  <r>
    <x v="0"/>
    <n v="0.94"/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</r>
  <r>
    <x v="0"/>
    <n v="0.94"/>
    <x v="15"/>
    <n v="82"/>
    <n v="64"/>
    <n v="0.78048780487804881"/>
    <n v="36"/>
    <n v="36"/>
    <n v="1"/>
    <n v="22"/>
    <n v="22"/>
    <n v="1"/>
    <n v="37"/>
    <n v="0"/>
    <n v="0"/>
    <m/>
    <m/>
    <m/>
    <m/>
    <m/>
    <m/>
    <m/>
    <m/>
    <m/>
    <m/>
    <m/>
    <m/>
    <m/>
    <m/>
    <m/>
    <m/>
    <m/>
    <m/>
    <m/>
    <m/>
    <m/>
    <m/>
    <m/>
    <m/>
    <m/>
    <m/>
    <s v=""/>
  </r>
  <r>
    <x v="0"/>
    <n v="0.94"/>
    <x v="16"/>
    <n v="149"/>
    <n v="121"/>
    <n v="0.81208053691275173"/>
    <n v="121"/>
    <n v="48"/>
    <n v="0.39669421487603307"/>
    <n v="147"/>
    <n v="73"/>
    <n v="0.49659863945578231"/>
    <n v="259"/>
    <n v="148"/>
    <n v="0.5714285714285714"/>
    <n v="270"/>
    <n v="124"/>
    <n v="0.45925925925925926"/>
    <n v="172"/>
    <n v="26"/>
    <n v="0.15116279069767441"/>
    <m/>
    <m/>
    <m/>
    <n v="234"/>
    <n v="125"/>
    <n v="0.53418803418803418"/>
    <n v="177"/>
    <n v="135"/>
    <n v="0.76271186440677963"/>
    <m/>
    <m/>
    <m/>
    <m/>
    <m/>
    <m/>
    <m/>
    <m/>
    <m/>
    <n v="1529"/>
    <n v="800"/>
    <n v="0.52321778940483976"/>
  </r>
  <r>
    <x v="0"/>
    <n v="0.94"/>
    <x v="17"/>
    <n v="58"/>
    <n v="44"/>
    <n v="0.75862068965517238"/>
    <n v="44"/>
    <n v="14"/>
    <n v="0.31818181818181818"/>
    <n v="107"/>
    <n v="17"/>
    <n v="0.15887850467289719"/>
    <n v="127"/>
    <n v="57"/>
    <n v="0.44881889763779526"/>
    <n v="482"/>
    <n v="81"/>
    <n v="0.16804979253112035"/>
    <n v="928"/>
    <n v="142"/>
    <n v="0.15301724137931033"/>
    <m/>
    <m/>
    <m/>
    <n v="896"/>
    <n v="639"/>
    <n v="0.7131696428571429"/>
    <n v="802"/>
    <n v="647"/>
    <n v="0.80673316708229426"/>
    <m/>
    <m/>
    <m/>
    <m/>
    <m/>
    <m/>
    <m/>
    <m/>
    <m/>
    <n v="3444"/>
    <n v="1641"/>
    <n v="0.47648083623693382"/>
  </r>
  <r>
    <x v="0"/>
    <n v="0.94"/>
    <x v="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</r>
  <r>
    <x v="1"/>
    <n v="0.94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1"/>
    <n v="0.94"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1"/>
    <n v="0.94"/>
    <x v="2"/>
    <n v="320"/>
    <n v="169"/>
    <n v="0.52812499999999996"/>
    <n v="301"/>
    <n v="270"/>
    <n v="0.9"/>
    <n v="298"/>
    <n v="250"/>
    <n v="0.83892617449664431"/>
    <n v="253"/>
    <n v="210"/>
    <n v="0.83003952569169959"/>
    <n v="381"/>
    <n v="366"/>
    <n v="0.96062992125984248"/>
    <n v="255"/>
    <n v="188"/>
    <n v="0.73725490196078436"/>
    <n v="189"/>
    <n v="180"/>
    <n v="0.95240000000000002"/>
    <n v="173"/>
    <n v="166"/>
    <n v="0.95950000000000002"/>
    <n v="177"/>
    <n v="6"/>
    <n v="3.3898305084745763E-2"/>
    <m/>
    <m/>
    <m/>
    <m/>
    <m/>
    <m/>
    <m/>
    <m/>
    <m/>
    <n v="2347"/>
    <n v="1805"/>
    <n v="0.76906689390711547"/>
  </r>
  <r>
    <x v="1"/>
    <n v="0.94"/>
    <x v="3"/>
    <n v="25"/>
    <n v="23"/>
    <n v="0.92"/>
    <n v="7"/>
    <n v="4"/>
    <n v="0.5714285714285714"/>
    <n v="27"/>
    <n v="8"/>
    <n v="0.29629629629629628"/>
    <n v="25"/>
    <n v="22"/>
    <n v="0.88"/>
    <n v="22"/>
    <n v="12"/>
    <n v="0.54545454545454541"/>
    <n v="12"/>
    <n v="9"/>
    <n v="0.75"/>
    <n v="32"/>
    <n v="22"/>
    <n v="0.69"/>
    <n v="3"/>
    <n v="1"/>
    <n v="0.33333333333333331"/>
    <n v="24"/>
    <n v="17"/>
    <n v="0.70833333333333337"/>
    <m/>
    <m/>
    <m/>
    <m/>
    <m/>
    <m/>
    <m/>
    <m/>
    <m/>
    <n v="177"/>
    <n v="118"/>
    <n v="0.66666666666666663"/>
  </r>
  <r>
    <x v="1"/>
    <n v="0.94"/>
    <x v="4"/>
    <n v="266"/>
    <n v="255"/>
    <n v="0.95864661654135341"/>
    <n v="165"/>
    <n v="147"/>
    <n v="0.89090909090909087"/>
    <n v="112"/>
    <n v="112"/>
    <n v="1"/>
    <n v="188"/>
    <n v="178"/>
    <n v="0.94680851063829785"/>
    <n v="358"/>
    <n v="348"/>
    <n v="0.97206703910614523"/>
    <n v="211"/>
    <n v="205"/>
    <n v="0.97156398104265407"/>
    <n v="289"/>
    <n v="283"/>
    <n v="0.98"/>
    <n v="206"/>
    <n v="205"/>
    <n v="0.99509999999999998"/>
    <n v="305"/>
    <n v="301"/>
    <n v="0.9868852459016394"/>
    <m/>
    <m/>
    <m/>
    <m/>
    <m/>
    <m/>
    <m/>
    <m/>
    <m/>
    <n v="2100"/>
    <n v="2034"/>
    <n v="0.96857142857142853"/>
  </r>
  <r>
    <x v="1"/>
    <n v="0.94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1"/>
    <n v="0.94"/>
    <x v="6"/>
    <n v="409"/>
    <n v="204"/>
    <n v="0.49877750611246946"/>
    <n v="639"/>
    <n v="383"/>
    <n v="0.59937402190923317"/>
    <n v="311"/>
    <n v="234"/>
    <n v="0.752411575562701"/>
    <n v="561"/>
    <n v="319"/>
    <n v="0.56862745098039214"/>
    <n v="636"/>
    <n v="379"/>
    <n v="0.59591194968553463"/>
    <n v="590"/>
    <n v="512"/>
    <n v="0.8677966101694915"/>
    <n v="457"/>
    <n v="380"/>
    <n v="0.83"/>
    <n v="570"/>
    <n v="479"/>
    <n v="0.8403508771929824"/>
    <n v="461"/>
    <n v="419"/>
    <n v="0.90889370932754876"/>
    <m/>
    <m/>
    <m/>
    <m/>
    <m/>
    <m/>
    <m/>
    <m/>
    <m/>
    <n v="4634"/>
    <n v="3309"/>
    <n v="0.71406991799741049"/>
  </r>
  <r>
    <x v="1"/>
    <n v="0.94"/>
    <x v="7"/>
    <n v="214"/>
    <n v="192"/>
    <n v="0.9"/>
    <n v="238"/>
    <n v="223"/>
    <n v="0.93697478991596639"/>
    <n v="150"/>
    <n v="146"/>
    <n v="0.97333333333333338"/>
    <n v="259"/>
    <n v="209"/>
    <n v="0.81"/>
    <n v="211"/>
    <n v="207"/>
    <n v="0.98104265402843605"/>
    <n v="355"/>
    <n v="344"/>
    <n v="0.96901408450704229"/>
    <n v="279"/>
    <n v="268"/>
    <n v="0.96"/>
    <n v="173"/>
    <n v="164"/>
    <n v="0.9677"/>
    <n v="194"/>
    <n v="191"/>
    <n v="0.98453608247422686"/>
    <m/>
    <m/>
    <m/>
    <m/>
    <m/>
    <m/>
    <m/>
    <m/>
    <m/>
    <n v="2073"/>
    <n v="1944"/>
    <n v="0.93777134587554267"/>
  </r>
  <r>
    <x v="1"/>
    <n v="0.94"/>
    <x v="8"/>
    <m/>
    <m/>
    <m/>
    <n v="3"/>
    <n v="3"/>
    <m/>
    <n v="2"/>
    <n v="1"/>
    <n v="0.5"/>
    <n v="7"/>
    <n v="1"/>
    <n v="0.14285714285714285"/>
    <m/>
    <m/>
    <m/>
    <n v="9"/>
    <n v="4"/>
    <n v="0.44444444444444442"/>
    <m/>
    <m/>
    <m/>
    <m/>
    <m/>
    <m/>
    <m/>
    <m/>
    <m/>
    <m/>
    <m/>
    <m/>
    <m/>
    <m/>
    <m/>
    <m/>
    <m/>
    <m/>
    <n v="21"/>
    <n v="9"/>
    <n v="0.42857142857142855"/>
  </r>
  <r>
    <x v="1"/>
    <n v="0.94"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1"/>
    <n v="0.94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1"/>
    <n v="0.94"/>
    <x v="11"/>
    <n v="583"/>
    <n v="582"/>
    <n v="0.99828473413379071"/>
    <n v="435"/>
    <n v="423"/>
    <n v="0.97241379310344822"/>
    <n v="365"/>
    <n v="343"/>
    <n v="0.9397260273972603"/>
    <n v="44"/>
    <n v="42"/>
    <n v="0.95454545454545459"/>
    <n v="25"/>
    <n v="24"/>
    <n v="0.96"/>
    <n v="34"/>
    <n v="12"/>
    <n v="0.35294117647058826"/>
    <m/>
    <m/>
    <m/>
    <n v="10"/>
    <n v="9"/>
    <n v="0.9"/>
    <n v="7"/>
    <n v="7"/>
    <n v="1"/>
    <m/>
    <m/>
    <m/>
    <m/>
    <m/>
    <m/>
    <m/>
    <m/>
    <m/>
    <n v="1503"/>
    <n v="1442"/>
    <n v="0.959414504324684"/>
  </r>
  <r>
    <x v="1"/>
    <n v="0.94"/>
    <x v="12"/>
    <n v="317"/>
    <n v="289"/>
    <n v="0.91167192429022081"/>
    <n v="227"/>
    <n v="221"/>
    <n v="0.97356828193832601"/>
    <n v="206"/>
    <n v="198"/>
    <n v="0.96116504854368934"/>
    <n v="221"/>
    <n v="206"/>
    <n v="0.9321266968325792"/>
    <n v="79"/>
    <n v="71"/>
    <n v="0.89873417721518989"/>
    <n v="26"/>
    <n v="22"/>
    <n v="0.84615384615384615"/>
    <m/>
    <m/>
    <m/>
    <n v="0"/>
    <n v="0"/>
    <n v="1"/>
    <n v="1"/>
    <n v="1"/>
    <n v="1"/>
    <m/>
    <m/>
    <m/>
    <m/>
    <m/>
    <m/>
    <m/>
    <m/>
    <m/>
    <n v="1077"/>
    <n v="1008"/>
    <n v="0.93593314763231195"/>
  </r>
  <r>
    <x v="1"/>
    <n v="0.94"/>
    <x v="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</r>
  <r>
    <x v="1"/>
    <n v="0.94"/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</r>
  <r>
    <x v="1"/>
    <n v="0.94"/>
    <x v="15"/>
    <n v="82"/>
    <n v="64"/>
    <n v="0.78048780487804881"/>
    <n v="36"/>
    <n v="36"/>
    <n v="1"/>
    <n v="22"/>
    <n v="22"/>
    <n v="1"/>
    <n v="37"/>
    <n v="33"/>
    <n v="0.89189189189189189"/>
    <m/>
    <m/>
    <m/>
    <m/>
    <m/>
    <m/>
    <m/>
    <m/>
    <m/>
    <m/>
    <m/>
    <m/>
    <m/>
    <m/>
    <m/>
    <m/>
    <m/>
    <m/>
    <m/>
    <m/>
    <m/>
    <m/>
    <m/>
    <m/>
    <n v="177"/>
    <n v="155"/>
    <n v="0.87570621468926557"/>
  </r>
  <r>
    <x v="1"/>
    <n v="0.94"/>
    <x v="16"/>
    <n v="149"/>
    <n v="107"/>
    <n v="0.71812080536912748"/>
    <n v="121"/>
    <n v="67"/>
    <n v="0.55371900826446285"/>
    <n v="147"/>
    <n v="53"/>
    <n v="0.36054421768707484"/>
    <n v="259"/>
    <n v="121"/>
    <n v="0.46718146718146719"/>
    <n v="270"/>
    <n v="71"/>
    <n v="0.26296296296296295"/>
    <n v="172"/>
    <n v="12"/>
    <n v="6.9767441860465115E-2"/>
    <m/>
    <m/>
    <m/>
    <n v="234"/>
    <n v="56"/>
    <n v="0.23931623931623933"/>
    <n v="177"/>
    <n v="89"/>
    <n v="0.50282485875706218"/>
    <m/>
    <m/>
    <m/>
    <m/>
    <m/>
    <m/>
    <m/>
    <m/>
    <m/>
    <n v="1529"/>
    <n v="576"/>
    <n v="0.37671680837148463"/>
  </r>
  <r>
    <x v="1"/>
    <n v="0.94"/>
    <x v="17"/>
    <n v="58"/>
    <n v="29"/>
    <n v="0.5"/>
    <n v="44"/>
    <n v="33"/>
    <n v="0.75"/>
    <n v="107"/>
    <n v="51"/>
    <n v="0.47663551401869159"/>
    <n v="127"/>
    <n v="54"/>
    <n v="0.42519685039370081"/>
    <n v="482"/>
    <n v="63"/>
    <n v="0.13070539419087138"/>
    <n v="938"/>
    <n v="93"/>
    <n v="9.9147121535181237E-2"/>
    <m/>
    <m/>
    <m/>
    <n v="896"/>
    <n v="230"/>
    <n v="0.25669642857142855"/>
    <n v="802"/>
    <n v="367"/>
    <n v="0.45760598503740646"/>
    <m/>
    <m/>
    <m/>
    <m/>
    <m/>
    <m/>
    <m/>
    <m/>
    <m/>
    <n v="3454"/>
    <n v="920"/>
    <n v="0.26635784597568035"/>
  </r>
  <r>
    <x v="1"/>
    <n v="0.94"/>
    <x v="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</r>
  <r>
    <x v="2"/>
    <n v="0.94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2"/>
    <n v="0.94"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2"/>
    <n v="0.94"/>
    <x v="2"/>
    <n v="303"/>
    <n v="115"/>
    <n v="0.37953795379537952"/>
    <n v="270"/>
    <n v="223"/>
    <n v="0.82589999999999997"/>
    <n v="292"/>
    <n v="246"/>
    <n v="0.84246575342465757"/>
    <n v="215"/>
    <n v="142"/>
    <n v="0.66046511627906979"/>
    <n v="366"/>
    <n v="356"/>
    <n v="0.97267759562841527"/>
    <n v="250"/>
    <n v="125"/>
    <n v="0.5"/>
    <n v="167"/>
    <n v="156"/>
    <n v="0.93410000000000004"/>
    <n v="149"/>
    <n v="143"/>
    <n v="0.9597"/>
    <n v="134"/>
    <n v="20"/>
    <n v="0.14925373134328357"/>
    <m/>
    <m/>
    <m/>
    <m/>
    <m/>
    <m/>
    <m/>
    <m/>
    <m/>
    <m/>
    <m/>
    <s v=""/>
  </r>
  <r>
    <x v="2"/>
    <n v="0.94"/>
    <x v="3"/>
    <n v="25"/>
    <n v="23"/>
    <n v="0.92"/>
    <n v="6"/>
    <n v="5"/>
    <n v="0.83333333333333337"/>
    <n v="26"/>
    <n v="17"/>
    <n v="0.65384615384615385"/>
    <n v="25"/>
    <n v="16"/>
    <n v="0.64"/>
    <n v="21"/>
    <n v="6"/>
    <n v="0.2857142857142857"/>
    <n v="11"/>
    <n v="10"/>
    <n v="0.90909090909090906"/>
    <n v="32"/>
    <n v="22"/>
    <n v="0.69"/>
    <n v="2"/>
    <n v="0"/>
    <n v="0"/>
    <n v="23"/>
    <n v="15"/>
    <n v="0.65217391304347827"/>
    <m/>
    <m/>
    <m/>
    <m/>
    <m/>
    <m/>
    <m/>
    <m/>
    <m/>
    <n v="171"/>
    <n v="114"/>
    <n v="0.66666666666666663"/>
  </r>
  <r>
    <x v="2"/>
    <n v="0.94"/>
    <x v="4"/>
    <n v="263"/>
    <n v="253"/>
    <n v="0.96197718631178708"/>
    <n v="163"/>
    <n v="142"/>
    <n v="0.87116564417177911"/>
    <n v="104"/>
    <n v="89"/>
    <n v="0.85576923076923073"/>
    <n v="141"/>
    <n v="87"/>
    <n v="0.61702127659574468"/>
    <n v="340"/>
    <n v="324"/>
    <n v="0.95294117647058818"/>
    <n v="209"/>
    <n v="202"/>
    <n v="0.96650717703349287"/>
    <n v="289"/>
    <n v="283"/>
    <n v="0.98"/>
    <n v="203"/>
    <n v="201"/>
    <n v="0.99009999999999998"/>
    <n v="296"/>
    <n v="291"/>
    <n v="0.98310810810810811"/>
    <m/>
    <m/>
    <m/>
    <m/>
    <m/>
    <m/>
    <m/>
    <m/>
    <m/>
    <n v="2008"/>
    <n v="1872"/>
    <n v="0.9322709163346613"/>
  </r>
  <r>
    <x v="2"/>
    <n v="0.94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2"/>
    <n v="0.94"/>
    <x v="6"/>
    <n v="402"/>
    <n v="165"/>
    <n v="0.41044776119402987"/>
    <n v="631"/>
    <n v="267"/>
    <n v="0.42313787638668782"/>
    <n v="308"/>
    <n v="82"/>
    <n v="0.26623376623376621"/>
    <n v="388"/>
    <n v="141"/>
    <n v="0.36340206185567009"/>
    <n v="621"/>
    <n v="295"/>
    <n v="0.4750402576489533"/>
    <n v="566"/>
    <n v="462"/>
    <n v="0.81625441696113077"/>
    <n v="457"/>
    <n v="380"/>
    <n v="0.83"/>
    <n v="563"/>
    <n v="461"/>
    <n v="0.81882770870337473"/>
    <n v="459"/>
    <n v="380"/>
    <n v="0.82788671023965144"/>
    <m/>
    <m/>
    <m/>
    <m/>
    <m/>
    <m/>
    <m/>
    <m/>
    <m/>
    <n v="4395"/>
    <n v="2633"/>
    <n v="0.59908987485779297"/>
  </r>
  <r>
    <x v="2"/>
    <n v="0.94"/>
    <x v="7"/>
    <n v="210"/>
    <n v="182.7"/>
    <n v="0.87"/>
    <n v="234"/>
    <n v="227"/>
    <n v="0.97008547008547008"/>
    <n v="146"/>
    <n v="139"/>
    <n v="0.95205479452054798"/>
    <n v="205"/>
    <n v="173"/>
    <n v="0.84"/>
    <n v="207"/>
    <n v="202"/>
    <n v="0.97584541062801933"/>
    <n v="351"/>
    <n v="298"/>
    <n v="0.84900284900284906"/>
    <n v="279"/>
    <n v="268"/>
    <n v="0.96"/>
    <n v="170"/>
    <n v="167"/>
    <n v="0.98899999999999999"/>
    <n v="190"/>
    <n v="190"/>
    <n v="1"/>
    <m/>
    <m/>
    <m/>
    <m/>
    <m/>
    <m/>
    <m/>
    <m/>
    <m/>
    <n v="1992"/>
    <n v="1846.7"/>
    <n v="0.92705823293172696"/>
  </r>
  <r>
    <x v="2"/>
    <n v="0.94"/>
    <x v="11"/>
    <n v="583"/>
    <n v="563"/>
    <n v="0.96569468267581471"/>
    <n v="435"/>
    <n v="406"/>
    <n v="0.93333333333333335"/>
    <n v="365"/>
    <n v="225"/>
    <n v="0.61643835616438358"/>
    <n v="36"/>
    <n v="23"/>
    <n v="0.63888888888888884"/>
    <n v="25"/>
    <n v="21"/>
    <n v="0.84"/>
    <n v="34"/>
    <n v="12"/>
    <n v="0.35294117647058826"/>
    <m/>
    <m/>
    <m/>
    <n v="10"/>
    <n v="9"/>
    <n v="0.9"/>
    <n v="7"/>
    <n v="7"/>
    <n v="1"/>
    <m/>
    <m/>
    <m/>
    <m/>
    <m/>
    <m/>
    <m/>
    <m/>
    <m/>
    <n v="1495"/>
    <n v="1266"/>
    <n v="0.8468227424749164"/>
  </r>
  <r>
    <x v="2"/>
    <n v="0.94"/>
    <x v="12"/>
    <n v="317"/>
    <n v="230"/>
    <n v="0.72555205047318616"/>
    <n v="227"/>
    <n v="207"/>
    <n v="0.91189427312775329"/>
    <n v="206"/>
    <n v="157"/>
    <n v="0.76213592233009708"/>
    <n v="125"/>
    <n v="60"/>
    <n v="0.48"/>
    <n v="79"/>
    <n v="29"/>
    <n v="0.36708860759493672"/>
    <n v="26"/>
    <n v="20"/>
    <n v="0.76923076923076927"/>
    <m/>
    <m/>
    <m/>
    <n v="0"/>
    <n v="0"/>
    <n v="1"/>
    <n v="1"/>
    <n v="0"/>
    <n v="0"/>
    <m/>
    <m/>
    <m/>
    <m/>
    <m/>
    <m/>
    <m/>
    <m/>
    <m/>
    <n v="981"/>
    <n v="703"/>
    <n v="0.71661569826707439"/>
  </r>
  <r>
    <x v="2"/>
    <n v="0.94"/>
    <x v="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</r>
  <r>
    <x v="2"/>
    <n v="0.94"/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2"/>
    <n v="0.94"/>
    <x v="16"/>
    <n v="149"/>
    <n v="114"/>
    <n v="0.7651006711409396"/>
    <n v="121"/>
    <n v="17"/>
    <n v="0.14049586776859505"/>
    <n v="147"/>
    <n v="47"/>
    <n v="0.31972789115646261"/>
    <n v="162"/>
    <n v="53"/>
    <n v="0.3271604938271605"/>
    <n v="270"/>
    <n v="96"/>
    <n v="0.35555555555555557"/>
    <n v="171"/>
    <n v="21"/>
    <n v="0.12280701754385964"/>
    <m/>
    <m/>
    <m/>
    <n v="234"/>
    <n v="99"/>
    <n v="0.42307692307692307"/>
    <n v="177"/>
    <n v="114"/>
    <n v="0.64406779661016944"/>
    <m/>
    <m/>
    <m/>
    <m/>
    <m/>
    <m/>
    <m/>
    <m/>
    <m/>
    <n v="1431"/>
    <n v="561"/>
    <n v="0.39203354297693921"/>
  </r>
  <r>
    <x v="2"/>
    <n v="0.94"/>
    <x v="17"/>
    <n v="58"/>
    <n v="29"/>
    <n v="0.5"/>
    <n v="44"/>
    <n v="12"/>
    <n v="0.27272727272727271"/>
    <n v="107"/>
    <n v="11"/>
    <n v="0.10280373831775701"/>
    <n v="102"/>
    <n v="28"/>
    <n v="0.27450980392156865"/>
    <n v="476"/>
    <n v="62"/>
    <n v="0.13025210084033614"/>
    <n v="934"/>
    <n v="80"/>
    <n v="8.5653104925053528E-2"/>
    <m/>
    <m/>
    <m/>
    <n v="896"/>
    <n v="591"/>
    <n v="0.6595982142857143"/>
    <n v="802"/>
    <n v="586"/>
    <n v="0.73067331670822944"/>
    <m/>
    <m/>
    <m/>
    <m/>
    <m/>
    <m/>
    <m/>
    <m/>
    <m/>
    <n v="3419"/>
    <n v="1399"/>
    <n v="0.4091839719216144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56" dataOnRows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67">
  <location ref="A4:B17" firstHeaderRow="1" firstDataRow="1" firstDataCol="1" rowPageCount="2" colPageCount="1"/>
  <pivotFields count="61">
    <pivotField axis="axisPage" multipleItemSelectionAllowed="1" showAll="0">
      <items count="4">
        <item h="1" x="2"/>
        <item x="0"/>
        <item h="1" x="1"/>
        <item t="default"/>
      </items>
    </pivotField>
    <pivotField dataField="1" numFmtId="9" showAll="0"/>
    <pivotField axis="axisPage" multipleItemSelectionAllowed="1" showAll="0">
      <items count="20">
        <item h="1" x="14"/>
        <item h="1" x="3"/>
        <item h="1" x="4"/>
        <item h="1" x="5"/>
        <item h="1" x="6"/>
        <item x="7"/>
        <item h="1" x="11"/>
        <item h="1" x="8"/>
        <item h="1" x="9"/>
        <item h="1" x="10"/>
        <item h="1" x="12"/>
        <item h="1" x="13"/>
        <item h="1" x="15"/>
        <item h="1" x="2"/>
        <item h="1" x="0"/>
        <item h="1" x="1"/>
        <item h="1" x="16"/>
        <item h="1" x="17"/>
        <item h="1"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Items count="1">
    <i/>
  </colItems>
  <pageFields count="2">
    <pageField fld="0" hier="-1"/>
    <pageField fld="2" hier="-1"/>
  </pageFields>
  <dataFields count="13">
    <dataField name="NS Jan." fld="43" baseField="0" baseItem="0"/>
    <dataField name="NS Fev." fld="46" baseField="0" baseItem="1"/>
    <dataField name="NS Mar." fld="42" baseField="0" baseItem="1"/>
    <dataField name="NS Abr." fld="44" baseField="0" baseItem="0"/>
    <dataField name="NS Mai." fld="45" baseField="0" baseItem="1"/>
    <dataField name="NS Jun." fld="49" baseField="0" baseItem="0"/>
    <dataField name="NS Jul." fld="50" baseField="0" baseItem="0"/>
    <dataField name="NS Ago." fld="51" baseField="0" baseItem="0"/>
    <dataField name="NS Set" fld="52" baseField="0" baseItem="0"/>
    <dataField name="NS Out" fld="53" baseField="0" baseItem="0"/>
    <dataField name="NS Nov" fld="54" subtotal="average" baseField="0" baseItem="9"/>
    <dataField name="Média de % NS YTD'24" fld="41" subtotal="average" baseField="0" baseItem="9"/>
    <dataField name="Média de Meta" fld="1" subtotal="average" baseField="0" baseItem="9"/>
  </dataFields>
  <formats count="3">
    <format dxfId="89">
      <pivotArea outline="0" collapsedLevelsAreSubtotals="1" fieldPosition="0"/>
    </format>
    <format dxfId="88">
      <pivotArea outline="0" collapsedLevelsAreSubtotals="1" fieldPosition="0"/>
    </format>
    <format dxfId="87">
      <pivotArea outline="0" collapsedLevelsAreSubtotals="1" fieldPosition="0"/>
    </format>
  </formats>
  <chartFormats count="48">
    <chartFormat chart="1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3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4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7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8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0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1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0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1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2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3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4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5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0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1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5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6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0" format="4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0" format="44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5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6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09" format="4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9" format="44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16" format="4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6" format="50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85" format="4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5" format="48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86" format="4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6" format="50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5" format="47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4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4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0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1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1" format="52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1" format="5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1" format="54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1" format="55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1" format="56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422" format="5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2" format="58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2" format="5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2" format="6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2" format="6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2" format="6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5" format="5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Indicador" sourceName="Indicador">
  <pivotTables>
    <pivotTable tabId="16" name="Tabela dinâmica1"/>
  </pivotTables>
  <data>
    <tabular pivotCacheId="9">
      <items count="3">
        <i x="2"/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od" sourceName="Cod">
  <pivotTables>
    <pivotTable tabId="16" name="Tabela dinâmica1"/>
  </pivotTables>
  <data>
    <tabular pivotCacheId="9">
      <items count="19">
        <i x="14"/>
        <i x="3"/>
        <i x="4"/>
        <i x="5"/>
        <i x="6"/>
        <i x="7" s="1"/>
        <i x="11"/>
        <i x="8"/>
        <i x="9"/>
        <i x="10"/>
        <i x="12"/>
        <i x="13"/>
        <i x="18"/>
        <i x="15"/>
        <i x="17"/>
        <i x="2"/>
        <i x="0"/>
        <i x="1"/>
        <i x="16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dicador" cache="SegmentaçãodeDados_Indicador" caption="Indicador" rowHeight="225425"/>
  <slicer name="Cod" cache="SegmentaçãodeDados_Cod" caption="Cod" rowHeight="225425"/>
</slicer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 filterMode="1"/>
  <dimension ref="A1:AP68"/>
  <sheetViews>
    <sheetView showGridLines="0" tabSelected="1" zoomScale="90" zoomScaleNormal="90" workbookViewId="0">
      <pane xSplit="3" ySplit="1" topLeftCell="X4" activePane="bottomRight" state="frozen"/>
      <selection pane="topRight" activeCell="E1" sqref="E1"/>
      <selection pane="bottomLeft" activeCell="A2" sqref="A2"/>
      <selection pane="bottomRight" activeCell="Z48" sqref="Z48"/>
    </sheetView>
  </sheetViews>
  <sheetFormatPr defaultColWidth="9.21875" defaultRowHeight="14.25" customHeight="1" x14ac:dyDescent="0.2"/>
  <cols>
    <col min="1" max="1" width="14.77734375" style="10" bestFit="1" customWidth="1"/>
    <col min="2" max="2" width="10.77734375" style="9" bestFit="1" customWidth="1"/>
    <col min="3" max="3" width="45.44140625" style="9" bestFit="1" customWidth="1"/>
    <col min="4" max="4" width="25.77734375" style="18" customWidth="1"/>
    <col min="5" max="5" width="29.5546875" style="18" customWidth="1"/>
    <col min="6" max="6" width="14.77734375" style="23" customWidth="1"/>
    <col min="7" max="7" width="27.5546875" style="10" customWidth="1"/>
    <col min="8" max="8" width="31.21875" style="10" customWidth="1"/>
    <col min="9" max="9" width="14.77734375" style="23" customWidth="1"/>
    <col min="10" max="10" width="24.5546875" style="10" customWidth="1"/>
    <col min="11" max="11" width="28.21875" style="10" customWidth="1"/>
    <col min="12" max="12" width="14.77734375" style="23" customWidth="1"/>
    <col min="13" max="13" width="23.21875" style="10" customWidth="1"/>
    <col min="14" max="14" width="26.77734375" style="10" customWidth="1"/>
    <col min="15" max="15" width="16.77734375" style="9" customWidth="1"/>
    <col min="16" max="16" width="23.21875" style="10" bestFit="1" customWidth="1"/>
    <col min="17" max="17" width="27" style="10" bestFit="1" customWidth="1"/>
    <col min="18" max="18" width="14.5546875" style="23" bestFit="1" customWidth="1"/>
    <col min="19" max="19" width="24.77734375" style="29" customWidth="1"/>
    <col min="20" max="20" width="28.21875" style="29" customWidth="1"/>
    <col min="21" max="21" width="14.77734375" style="30" bestFit="1" customWidth="1"/>
    <col min="22" max="22" width="24" style="9" bestFit="1" customWidth="1"/>
    <col min="23" max="23" width="27.5546875" style="9" bestFit="1" customWidth="1"/>
    <col min="24" max="24" width="15.21875" style="21" customWidth="1"/>
    <col min="25" max="25" width="25.5546875" style="29" bestFit="1" customWidth="1"/>
    <col min="26" max="26" width="29.21875" style="29" bestFit="1" customWidth="1"/>
    <col min="27" max="27" width="15" style="21" bestFit="1" customWidth="1"/>
    <col min="28" max="28" width="27.77734375" style="9" bestFit="1" customWidth="1"/>
    <col min="29" max="29" width="31.44140625" style="9" bestFit="1" customWidth="1"/>
    <col min="30" max="30" width="14.5546875" style="23" bestFit="1" customWidth="1"/>
    <col min="31" max="31" width="26.44140625" style="29" bestFit="1" customWidth="1"/>
    <col min="32" max="32" width="30.21875" style="29" bestFit="1" customWidth="1"/>
    <col min="33" max="33" width="14.77734375" style="9" bestFit="1" customWidth="1"/>
    <col min="34" max="34" width="28.21875" style="29" bestFit="1" customWidth="1"/>
    <col min="35" max="35" width="31.77734375" style="29" bestFit="1" customWidth="1"/>
    <col min="36" max="36" width="14.77734375" style="23" bestFit="1" customWidth="1"/>
    <col min="37" max="37" width="28.21875" style="29" bestFit="1" customWidth="1"/>
    <col min="38" max="38" width="31.77734375" style="29" bestFit="1" customWidth="1"/>
    <col min="39" max="39" width="14.77734375" style="9" bestFit="1" customWidth="1"/>
    <col min="40" max="40" width="22.77734375" style="10" bestFit="1" customWidth="1"/>
    <col min="41" max="41" width="26.44140625" style="10" bestFit="1" customWidth="1"/>
    <col min="42" max="42" width="17.5546875" style="24" bestFit="1" customWidth="1"/>
    <col min="43" max="16384" width="9.21875" style="10"/>
  </cols>
  <sheetData>
    <row r="1" spans="1:42" s="5" customFormat="1" ht="16.5" customHeight="1" x14ac:dyDescent="0.25">
      <c r="A1" s="1" t="s">
        <v>15</v>
      </c>
      <c r="B1" s="2" t="s">
        <v>18</v>
      </c>
      <c r="C1" s="1" t="s">
        <v>17</v>
      </c>
      <c r="D1" s="17" t="s">
        <v>0</v>
      </c>
      <c r="E1" s="17" t="s">
        <v>1</v>
      </c>
      <c r="F1" s="22" t="s">
        <v>2</v>
      </c>
      <c r="G1" s="3" t="s">
        <v>3</v>
      </c>
      <c r="H1" s="3" t="s">
        <v>4</v>
      </c>
      <c r="I1" s="22" t="s">
        <v>5</v>
      </c>
      <c r="J1" s="3" t="s">
        <v>6</v>
      </c>
      <c r="K1" s="3" t="s">
        <v>7</v>
      </c>
      <c r="L1" s="22" t="s">
        <v>8</v>
      </c>
      <c r="M1" s="3" t="s">
        <v>9</v>
      </c>
      <c r="N1" s="3" t="s">
        <v>10</v>
      </c>
      <c r="O1" s="4" t="s">
        <v>11</v>
      </c>
      <c r="P1" s="3" t="s">
        <v>12</v>
      </c>
      <c r="Q1" s="3" t="s">
        <v>13</v>
      </c>
      <c r="R1" s="22" t="s">
        <v>14</v>
      </c>
      <c r="S1" s="3" t="s">
        <v>19</v>
      </c>
      <c r="T1" s="3" t="s">
        <v>20</v>
      </c>
      <c r="U1" s="22" t="s">
        <v>21</v>
      </c>
      <c r="V1" s="3" t="s">
        <v>22</v>
      </c>
      <c r="W1" s="3" t="s">
        <v>23</v>
      </c>
      <c r="X1" s="19" t="s">
        <v>24</v>
      </c>
      <c r="Y1" s="3" t="s">
        <v>26</v>
      </c>
      <c r="Z1" s="3" t="s">
        <v>27</v>
      </c>
      <c r="AA1" s="19" t="s">
        <v>25</v>
      </c>
      <c r="AB1" s="3" t="s">
        <v>28</v>
      </c>
      <c r="AC1" s="3" t="s">
        <v>29</v>
      </c>
      <c r="AD1" s="22" t="s">
        <v>30</v>
      </c>
      <c r="AE1" s="3" t="s">
        <v>31</v>
      </c>
      <c r="AF1" s="3" t="s">
        <v>32</v>
      </c>
      <c r="AG1" s="4" t="s">
        <v>33</v>
      </c>
      <c r="AH1" s="3" t="s">
        <v>34</v>
      </c>
      <c r="AI1" s="3" t="s">
        <v>35</v>
      </c>
      <c r="AJ1" s="22" t="s">
        <v>36</v>
      </c>
      <c r="AK1" s="3" t="s">
        <v>37</v>
      </c>
      <c r="AL1" s="3" t="s">
        <v>39</v>
      </c>
      <c r="AM1" s="4" t="s">
        <v>38</v>
      </c>
      <c r="AN1" s="3" t="s">
        <v>41</v>
      </c>
      <c r="AO1" s="3" t="s">
        <v>42</v>
      </c>
      <c r="AP1" s="22" t="s">
        <v>65</v>
      </c>
    </row>
    <row r="2" spans="1:42" ht="14.25" hidden="1" customHeight="1" x14ac:dyDescent="0.25">
      <c r="A2" s="6" t="s">
        <v>60</v>
      </c>
      <c r="B2" s="7">
        <v>0.94</v>
      </c>
      <c r="C2" s="8" t="s">
        <v>56</v>
      </c>
      <c r="D2" s="16"/>
      <c r="E2" s="16"/>
      <c r="F2" s="13"/>
      <c r="G2" s="16"/>
      <c r="H2" s="16"/>
      <c r="I2" s="13"/>
      <c r="J2" s="16"/>
      <c r="K2" s="16"/>
      <c r="L2" s="13"/>
      <c r="M2" s="16"/>
      <c r="N2" s="16"/>
      <c r="O2" s="20"/>
      <c r="P2" s="16"/>
      <c r="Q2" s="16"/>
      <c r="R2" s="13"/>
      <c r="S2" s="28"/>
      <c r="T2" s="28"/>
      <c r="U2" s="13"/>
      <c r="V2" s="28"/>
      <c r="W2" s="28"/>
      <c r="X2" s="13"/>
      <c r="Y2" s="28"/>
      <c r="Z2" s="28"/>
      <c r="AA2" s="13"/>
      <c r="AB2" s="28"/>
      <c r="AC2" s="28"/>
      <c r="AD2" s="13"/>
      <c r="AE2" s="28"/>
      <c r="AF2" s="28"/>
      <c r="AG2" s="13"/>
      <c r="AH2" s="28"/>
      <c r="AI2" s="28"/>
      <c r="AJ2" s="13"/>
      <c r="AK2" s="28"/>
      <c r="AL2" s="28"/>
      <c r="AM2" s="13"/>
      <c r="AN2" s="18"/>
      <c r="AO2" s="18"/>
      <c r="AP2" s="23" t="str">
        <f t="shared" ref="AP2" si="0">IFERROR((AO2/AN2),"")</f>
        <v/>
      </c>
    </row>
    <row r="3" spans="1:42" ht="14.25" hidden="1" customHeight="1" x14ac:dyDescent="0.25">
      <c r="A3" s="6" t="s">
        <v>60</v>
      </c>
      <c r="B3" s="7">
        <v>0.94</v>
      </c>
      <c r="C3" s="8" t="s">
        <v>57</v>
      </c>
      <c r="D3" s="16"/>
      <c r="E3" s="16"/>
      <c r="F3" s="13"/>
      <c r="G3" s="16"/>
      <c r="H3" s="16"/>
      <c r="I3" s="13"/>
      <c r="J3" s="16"/>
      <c r="K3" s="16"/>
      <c r="L3" s="13"/>
      <c r="M3" s="16"/>
      <c r="N3" s="16"/>
      <c r="O3" s="20"/>
      <c r="P3" s="16"/>
      <c r="Q3" s="16"/>
      <c r="R3" s="13"/>
      <c r="S3" s="28"/>
      <c r="T3" s="28"/>
      <c r="U3" s="13"/>
      <c r="V3" s="28"/>
      <c r="W3" s="28"/>
      <c r="X3" s="13"/>
      <c r="Y3" s="28"/>
      <c r="Z3" s="28"/>
      <c r="AA3" s="13"/>
      <c r="AB3" s="28"/>
      <c r="AC3" s="28"/>
      <c r="AD3" s="13"/>
      <c r="AE3" s="28"/>
      <c r="AF3" s="28"/>
      <c r="AG3" s="13"/>
      <c r="AH3" s="28"/>
      <c r="AI3" s="28"/>
      <c r="AJ3" s="13"/>
      <c r="AK3" s="28"/>
      <c r="AL3" s="28"/>
      <c r="AM3" s="13"/>
      <c r="AN3" s="18"/>
      <c r="AO3" s="18"/>
      <c r="AP3" s="23" t="str">
        <f t="shared" ref="AP3:AP54" si="1">IFERROR((AO3/AN3),"")</f>
        <v/>
      </c>
    </row>
    <row r="4" spans="1:42" ht="14.25" customHeight="1" x14ac:dyDescent="0.25">
      <c r="A4" s="6" t="s">
        <v>60</v>
      </c>
      <c r="B4" s="7">
        <v>0.94</v>
      </c>
      <c r="C4" s="8" t="s">
        <v>58</v>
      </c>
      <c r="D4" s="16">
        <v>303</v>
      </c>
      <c r="E4" s="16">
        <v>164</v>
      </c>
      <c r="F4" s="13">
        <f>E4/D4</f>
        <v>0.54125412541254125</v>
      </c>
      <c r="G4" s="16">
        <v>270</v>
      </c>
      <c r="H4" s="16">
        <v>222</v>
      </c>
      <c r="I4" s="13">
        <v>0.82</v>
      </c>
      <c r="J4" s="16">
        <v>292</v>
      </c>
      <c r="K4" s="16">
        <v>241</v>
      </c>
      <c r="L4" s="32">
        <f>K4/J4</f>
        <v>0.82534246575342463</v>
      </c>
      <c r="M4" s="33">
        <v>235</v>
      </c>
      <c r="N4" s="33">
        <v>120</v>
      </c>
      <c r="O4" s="32">
        <f>N4/M4</f>
        <v>0.51063829787234039</v>
      </c>
      <c r="P4" s="16">
        <v>366</v>
      </c>
      <c r="Q4" s="16">
        <v>345</v>
      </c>
      <c r="R4" s="32">
        <f>Q4/P4</f>
        <v>0.94262295081967218</v>
      </c>
      <c r="S4" s="28">
        <v>250</v>
      </c>
      <c r="T4" s="28">
        <v>94</v>
      </c>
      <c r="U4" s="13">
        <f>T4/S4</f>
        <v>0.376</v>
      </c>
      <c r="V4" s="28">
        <v>167</v>
      </c>
      <c r="W4" s="28">
        <v>149</v>
      </c>
      <c r="X4" s="13">
        <v>0.89219999999999999</v>
      </c>
      <c r="Y4" s="28">
        <v>149</v>
      </c>
      <c r="Z4" s="28">
        <v>141</v>
      </c>
      <c r="AA4" s="13">
        <v>0.94630000000000003</v>
      </c>
      <c r="AB4" s="28">
        <v>134</v>
      </c>
      <c r="AC4" s="28">
        <v>20</v>
      </c>
      <c r="AD4" s="13">
        <f>VLOOKUP(AC4,Planilha1!A:B,2,0)</f>
        <v>0.14925373134328357</v>
      </c>
      <c r="AE4" s="28"/>
      <c r="AF4" s="28"/>
      <c r="AG4" s="13"/>
      <c r="AH4" s="28"/>
      <c r="AI4" s="28"/>
      <c r="AJ4" s="13"/>
      <c r="AK4" s="28"/>
      <c r="AL4" s="28"/>
      <c r="AM4" s="13"/>
      <c r="AN4" s="18">
        <f>D4+G4+J4+M4+P4+S4+V4+Y4+AB4+AE4+AH4+AK4</f>
        <v>2166</v>
      </c>
      <c r="AO4" s="18">
        <f>E4+H4+K4+N4+Q4+T4+W4+Z4+AC4+AF4+AI4+AL4</f>
        <v>1496</v>
      </c>
      <c r="AP4" s="23">
        <f>IFERROR((AO4/AN4),"")</f>
        <v>0.69067405355493994</v>
      </c>
    </row>
    <row r="5" spans="1:42" ht="14.25" customHeight="1" x14ac:dyDescent="0.25">
      <c r="A5" s="6" t="s">
        <v>60</v>
      </c>
      <c r="B5" s="7">
        <v>0.94</v>
      </c>
      <c r="C5" s="8" t="s">
        <v>43</v>
      </c>
      <c r="D5" s="16">
        <v>25</v>
      </c>
      <c r="E5" s="16">
        <v>25</v>
      </c>
      <c r="F5" s="13">
        <f t="shared" ref="F5:F53" si="2">E5/D5</f>
        <v>1</v>
      </c>
      <c r="G5" s="16">
        <v>6</v>
      </c>
      <c r="H5" s="16">
        <v>3</v>
      </c>
      <c r="I5" s="13">
        <f t="shared" ref="I5:I53" si="3">H5/G5</f>
        <v>0.5</v>
      </c>
      <c r="J5" s="16">
        <v>26</v>
      </c>
      <c r="K5" s="16">
        <v>17</v>
      </c>
      <c r="L5" s="32">
        <f t="shared" ref="L5:L53" si="4">K5/J5</f>
        <v>0.65384615384615385</v>
      </c>
      <c r="M5" s="16">
        <v>25</v>
      </c>
      <c r="N5" s="16">
        <v>16</v>
      </c>
      <c r="O5" s="32">
        <f t="shared" ref="O5:O53" si="5">N5/M5</f>
        <v>0.64</v>
      </c>
      <c r="P5" s="16">
        <v>21</v>
      </c>
      <c r="Q5" s="16">
        <v>10</v>
      </c>
      <c r="R5" s="32">
        <f t="shared" ref="R5:R53" si="6">Q5/P5</f>
        <v>0.47619047619047616</v>
      </c>
      <c r="S5" s="28">
        <v>11</v>
      </c>
      <c r="T5" s="28">
        <v>11</v>
      </c>
      <c r="U5" s="13">
        <f>S5/T5</f>
        <v>1</v>
      </c>
      <c r="V5" s="28">
        <v>31</v>
      </c>
      <c r="W5" s="28">
        <v>14</v>
      </c>
      <c r="X5" s="13">
        <v>0.45</v>
      </c>
      <c r="Y5" s="28">
        <v>2</v>
      </c>
      <c r="Z5" s="28">
        <v>0</v>
      </c>
      <c r="AA5" s="13">
        <v>0</v>
      </c>
      <c r="AB5" s="28">
        <v>23</v>
      </c>
      <c r="AC5" s="28">
        <v>16</v>
      </c>
      <c r="AD5" s="13">
        <f>VLOOKUP(AC5,Planilha1!A:B,2,0)</f>
        <v>0.69565217391304346</v>
      </c>
      <c r="AE5" s="28"/>
      <c r="AF5" s="28"/>
      <c r="AG5" s="13"/>
      <c r="AH5" s="28"/>
      <c r="AI5" s="28"/>
      <c r="AJ5" s="13"/>
      <c r="AK5" s="28"/>
      <c r="AL5" s="28"/>
      <c r="AM5" s="13"/>
      <c r="AN5" s="18">
        <f>D5+G5+J5+M5+P5+S5+V5+Y5+AB5+AE5+AH5+AK5</f>
        <v>170</v>
      </c>
      <c r="AO5" s="18">
        <f t="shared" ref="AO5:AO53" si="7">E5+H5+K5+N5+Q5+T5+W5+Z5+AC5+AF5+AI5+AL5</f>
        <v>112</v>
      </c>
      <c r="AP5" s="23">
        <f t="shared" si="1"/>
        <v>0.6588235294117647</v>
      </c>
    </row>
    <row r="6" spans="1:42" ht="14.25" customHeight="1" x14ac:dyDescent="0.25">
      <c r="A6" s="6" t="s">
        <v>60</v>
      </c>
      <c r="B6" s="7">
        <v>0.94</v>
      </c>
      <c r="C6" s="8" t="s">
        <v>44</v>
      </c>
      <c r="D6" s="16">
        <v>263</v>
      </c>
      <c r="E6" s="16">
        <v>250</v>
      </c>
      <c r="F6" s="13">
        <f t="shared" si="2"/>
        <v>0.95057034220532322</v>
      </c>
      <c r="G6" s="16">
        <v>163</v>
      </c>
      <c r="H6" s="16">
        <v>146</v>
      </c>
      <c r="I6" s="13">
        <f t="shared" si="3"/>
        <v>0.89570552147239269</v>
      </c>
      <c r="J6" s="16">
        <v>104</v>
      </c>
      <c r="K6" s="16">
        <v>89</v>
      </c>
      <c r="L6" s="32">
        <f t="shared" si="4"/>
        <v>0.85576923076923073</v>
      </c>
      <c r="M6" s="16">
        <v>188</v>
      </c>
      <c r="N6" s="16">
        <v>142</v>
      </c>
      <c r="O6" s="32">
        <f t="shared" si="5"/>
        <v>0.75531914893617025</v>
      </c>
      <c r="P6" s="16">
        <v>340</v>
      </c>
      <c r="Q6" s="16">
        <v>330</v>
      </c>
      <c r="R6" s="32">
        <f t="shared" si="6"/>
        <v>0.97058823529411764</v>
      </c>
      <c r="S6" s="28">
        <v>211</v>
      </c>
      <c r="T6" s="28">
        <v>202</v>
      </c>
      <c r="U6" s="13">
        <f>T6/S6</f>
        <v>0.95734597156398105</v>
      </c>
      <c r="V6" s="28">
        <v>270</v>
      </c>
      <c r="W6" s="28">
        <v>268</v>
      </c>
      <c r="X6" s="13">
        <v>0.99</v>
      </c>
      <c r="Y6" s="28">
        <v>203</v>
      </c>
      <c r="Z6" s="28">
        <v>201</v>
      </c>
      <c r="AA6" s="13">
        <v>0.99009999999999998</v>
      </c>
      <c r="AB6" s="28">
        <v>296</v>
      </c>
      <c r="AC6" s="28">
        <v>290</v>
      </c>
      <c r="AD6" s="13">
        <f>VLOOKUP(AC6,Planilha1!A:B,2,0)</f>
        <v>0.97972972972972971</v>
      </c>
      <c r="AE6" s="28"/>
      <c r="AF6" s="28"/>
      <c r="AG6" s="13"/>
      <c r="AH6" s="28"/>
      <c r="AI6" s="28"/>
      <c r="AJ6" s="13"/>
      <c r="AK6" s="28"/>
      <c r="AL6" s="28"/>
      <c r="AM6" s="13"/>
      <c r="AN6" s="18">
        <f t="shared" ref="AN6:AN53" si="8">D6+G6+J6+M6+P6+S6+V6+Y6+AB6+AE6+AH6+AK6</f>
        <v>2038</v>
      </c>
      <c r="AO6" s="18">
        <f t="shared" si="7"/>
        <v>1918</v>
      </c>
      <c r="AP6" s="23">
        <f t="shared" si="1"/>
        <v>0.94111874386653582</v>
      </c>
    </row>
    <row r="7" spans="1:42" ht="14.25" hidden="1" customHeight="1" x14ac:dyDescent="0.25">
      <c r="A7" s="6" t="s">
        <v>60</v>
      </c>
      <c r="B7" s="7">
        <v>0.94</v>
      </c>
      <c r="C7" s="8" t="s">
        <v>45</v>
      </c>
      <c r="D7" s="16"/>
      <c r="E7" s="16"/>
      <c r="F7" s="13"/>
      <c r="G7" s="16"/>
      <c r="H7" s="16"/>
      <c r="I7" s="13"/>
      <c r="J7" s="16"/>
      <c r="K7" s="16"/>
      <c r="L7" s="32"/>
      <c r="M7" s="16"/>
      <c r="N7" s="16"/>
      <c r="O7" s="32"/>
      <c r="P7" s="16"/>
      <c r="Q7" s="16"/>
      <c r="R7" s="32"/>
      <c r="S7" s="28"/>
      <c r="T7" s="28"/>
      <c r="U7" s="13"/>
      <c r="V7" s="28"/>
      <c r="W7" s="28"/>
      <c r="X7" s="13"/>
      <c r="Y7" s="28"/>
      <c r="Z7" s="28"/>
      <c r="AA7" s="13"/>
      <c r="AB7" s="28">
        <v>459</v>
      </c>
      <c r="AC7" s="28">
        <v>390</v>
      </c>
      <c r="AD7" s="13"/>
      <c r="AE7" s="28"/>
      <c r="AF7" s="28"/>
      <c r="AG7" s="13"/>
      <c r="AH7" s="28"/>
      <c r="AI7" s="28"/>
      <c r="AJ7" s="13"/>
      <c r="AK7" s="28"/>
      <c r="AL7" s="28"/>
      <c r="AM7" s="13"/>
      <c r="AN7" s="18"/>
      <c r="AO7" s="18"/>
      <c r="AP7" s="23" t="str">
        <f t="shared" si="1"/>
        <v/>
      </c>
    </row>
    <row r="8" spans="1:42" ht="14.25" customHeight="1" x14ac:dyDescent="0.3">
      <c r="A8" s="6" t="s">
        <v>60</v>
      </c>
      <c r="B8" s="7">
        <v>0.94</v>
      </c>
      <c r="C8" s="8" t="s">
        <v>46</v>
      </c>
      <c r="D8" s="16">
        <v>402</v>
      </c>
      <c r="E8" s="16">
        <v>221</v>
      </c>
      <c r="F8" s="13">
        <f t="shared" si="2"/>
        <v>0.54975124378109452</v>
      </c>
      <c r="G8" s="16">
        <v>631</v>
      </c>
      <c r="H8" s="16">
        <v>327</v>
      </c>
      <c r="I8" s="13">
        <f t="shared" si="3"/>
        <v>0.51822503961965138</v>
      </c>
      <c r="J8" s="16">
        <v>308</v>
      </c>
      <c r="K8" s="16">
        <v>108</v>
      </c>
      <c r="L8" s="32">
        <f t="shared" si="4"/>
        <v>0.35064935064935066</v>
      </c>
      <c r="M8" s="16">
        <v>561</v>
      </c>
      <c r="N8" s="16">
        <v>210</v>
      </c>
      <c r="O8" s="32">
        <f t="shared" si="5"/>
        <v>0.37433155080213903</v>
      </c>
      <c r="P8" s="16">
        <v>556</v>
      </c>
      <c r="Q8" s="16">
        <v>254</v>
      </c>
      <c r="R8" s="32">
        <f t="shared" si="6"/>
        <v>0.45683453237410071</v>
      </c>
      <c r="S8" s="28">
        <v>569</v>
      </c>
      <c r="T8" s="28">
        <v>485</v>
      </c>
      <c r="U8" s="13">
        <f>T8/S8</f>
        <v>0.85237258347978906</v>
      </c>
      <c r="V8" s="28">
        <v>447</v>
      </c>
      <c r="W8" s="28">
        <v>308</v>
      </c>
      <c r="X8" s="13">
        <v>0.69</v>
      </c>
      <c r="Y8" s="28">
        <v>563</v>
      </c>
      <c r="Z8" s="28">
        <v>462</v>
      </c>
      <c r="AA8" s="13">
        <v>0.82060390763765545</v>
      </c>
      <c r="AB8" s="35">
        <v>459</v>
      </c>
      <c r="AC8" s="35">
        <v>390</v>
      </c>
      <c r="AD8" s="13">
        <f>VLOOKUP(AC8,Planilha1!A:B,2,0)</f>
        <v>0.84967320261437906</v>
      </c>
      <c r="AE8" s="28"/>
      <c r="AF8" s="28"/>
      <c r="AG8" s="13"/>
      <c r="AH8" s="28"/>
      <c r="AI8" s="28"/>
      <c r="AJ8" s="13"/>
      <c r="AK8" s="28"/>
      <c r="AL8" s="28"/>
      <c r="AM8" s="13"/>
      <c r="AN8" s="18">
        <f>D8+G8+J8+M8+P8+S8+V8+Y8+AB8+AE8+AH8+AK8</f>
        <v>4496</v>
      </c>
      <c r="AO8" s="18">
        <f t="shared" si="7"/>
        <v>2765</v>
      </c>
      <c r="AP8" s="23">
        <f t="shared" si="1"/>
        <v>0.614991103202847</v>
      </c>
    </row>
    <row r="9" spans="1:42" ht="14.25" customHeight="1" x14ac:dyDescent="0.25">
      <c r="A9" s="6" t="s">
        <v>60</v>
      </c>
      <c r="B9" s="7">
        <v>0.94</v>
      </c>
      <c r="C9" s="8" t="s">
        <v>47</v>
      </c>
      <c r="D9" s="16">
        <v>210</v>
      </c>
      <c r="E9" s="16">
        <v>191.1</v>
      </c>
      <c r="F9" s="13">
        <f t="shared" si="2"/>
        <v>0.90999999999999992</v>
      </c>
      <c r="G9" s="16">
        <v>234</v>
      </c>
      <c r="H9" s="16">
        <v>228.5</v>
      </c>
      <c r="I9" s="13">
        <f t="shared" si="3"/>
        <v>0.97649572649572647</v>
      </c>
      <c r="J9" s="16">
        <v>146</v>
      </c>
      <c r="K9" s="16">
        <v>139</v>
      </c>
      <c r="L9" s="32">
        <f>K9/J9</f>
        <v>0.95205479452054798</v>
      </c>
      <c r="M9" s="16">
        <v>259</v>
      </c>
      <c r="N9" s="16">
        <v>216</v>
      </c>
      <c r="O9" s="32">
        <v>0.8992</v>
      </c>
      <c r="P9" s="16">
        <v>207</v>
      </c>
      <c r="Q9" s="16">
        <v>207</v>
      </c>
      <c r="R9" s="32">
        <f t="shared" si="6"/>
        <v>1</v>
      </c>
      <c r="S9" s="28">
        <v>353</v>
      </c>
      <c r="T9" s="28">
        <v>327</v>
      </c>
      <c r="U9" s="13">
        <f>T9/S9</f>
        <v>0.92634560906515584</v>
      </c>
      <c r="V9" s="28">
        <v>273</v>
      </c>
      <c r="W9" s="28">
        <v>268</v>
      </c>
      <c r="X9" s="13">
        <v>0.98</v>
      </c>
      <c r="Y9" s="28">
        <v>170</v>
      </c>
      <c r="Z9" s="28">
        <v>169</v>
      </c>
      <c r="AA9" s="13">
        <v>0.99629999999999996</v>
      </c>
      <c r="AB9" s="28">
        <v>190</v>
      </c>
      <c r="AC9" s="28">
        <v>190</v>
      </c>
      <c r="AD9" s="13">
        <f>VLOOKUP(AC9,Planilha1!A:B,2,0)</f>
        <v>1</v>
      </c>
      <c r="AE9" s="28"/>
      <c r="AF9" s="28"/>
      <c r="AG9" s="13"/>
      <c r="AH9" s="28"/>
      <c r="AI9" s="28"/>
      <c r="AJ9" s="13"/>
      <c r="AK9" s="28"/>
      <c r="AL9" s="28"/>
      <c r="AM9" s="13"/>
      <c r="AN9" s="18">
        <f t="shared" si="8"/>
        <v>2042</v>
      </c>
      <c r="AO9" s="18">
        <f t="shared" si="7"/>
        <v>1935.6</v>
      </c>
      <c r="AP9" s="23">
        <f t="shared" si="1"/>
        <v>0.94789422135161605</v>
      </c>
    </row>
    <row r="10" spans="1:42" ht="14.25" hidden="1" customHeight="1" x14ac:dyDescent="0.25">
      <c r="A10" s="6" t="s">
        <v>60</v>
      </c>
      <c r="B10" s="7">
        <v>0.94</v>
      </c>
      <c r="C10" s="8" t="s">
        <v>48</v>
      </c>
      <c r="D10" s="16"/>
      <c r="E10" s="16"/>
      <c r="F10" s="13"/>
      <c r="G10" s="16">
        <v>3</v>
      </c>
      <c r="H10" s="16">
        <v>3</v>
      </c>
      <c r="I10" s="13"/>
      <c r="J10" s="16">
        <v>2</v>
      </c>
      <c r="K10" s="16">
        <v>1</v>
      </c>
      <c r="L10" s="32">
        <f t="shared" si="4"/>
        <v>0.5</v>
      </c>
      <c r="M10" s="16">
        <v>7</v>
      </c>
      <c r="N10" s="16">
        <v>0</v>
      </c>
      <c r="O10" s="32">
        <f t="shared" si="5"/>
        <v>0</v>
      </c>
      <c r="P10" s="16"/>
      <c r="Q10" s="16"/>
      <c r="R10" s="32"/>
      <c r="S10" s="28"/>
      <c r="T10" s="28"/>
      <c r="U10" s="13"/>
      <c r="V10" s="28"/>
      <c r="W10" s="28"/>
      <c r="X10" s="13"/>
      <c r="Y10" s="28"/>
      <c r="Z10" s="28"/>
      <c r="AA10" s="13"/>
      <c r="AB10" s="28">
        <v>1</v>
      </c>
      <c r="AC10" s="28">
        <v>1</v>
      </c>
      <c r="AD10" s="13"/>
      <c r="AE10" s="28"/>
      <c r="AF10" s="28"/>
      <c r="AG10" s="13"/>
      <c r="AH10" s="28"/>
      <c r="AI10" s="28"/>
      <c r="AJ10" s="13"/>
      <c r="AK10" s="28"/>
      <c r="AL10" s="28"/>
      <c r="AM10" s="13"/>
      <c r="AN10" s="18">
        <f t="shared" si="8"/>
        <v>13</v>
      </c>
      <c r="AO10" s="18">
        <f t="shared" si="7"/>
        <v>5</v>
      </c>
      <c r="AP10" s="23">
        <f t="shared" si="1"/>
        <v>0.38461538461538464</v>
      </c>
    </row>
    <row r="11" spans="1:42" ht="14.25" hidden="1" customHeight="1" x14ac:dyDescent="0.25">
      <c r="A11" s="6" t="s">
        <v>60</v>
      </c>
      <c r="B11" s="7">
        <v>0.94</v>
      </c>
      <c r="C11" s="8" t="s">
        <v>49</v>
      </c>
      <c r="D11" s="16"/>
      <c r="E11" s="16"/>
      <c r="F11" s="13"/>
      <c r="G11" s="16"/>
      <c r="H11" s="16"/>
      <c r="I11" s="13"/>
      <c r="J11" s="16"/>
      <c r="K11" s="16"/>
      <c r="L11" s="32"/>
      <c r="M11" s="16"/>
      <c r="N11" s="16"/>
      <c r="O11" s="32"/>
      <c r="P11" s="16"/>
      <c r="Q11" s="16"/>
      <c r="R11" s="32"/>
      <c r="S11" s="28"/>
      <c r="T11" s="28"/>
      <c r="U11" s="13"/>
      <c r="V11" s="28"/>
      <c r="W11" s="28"/>
      <c r="X11" s="13"/>
      <c r="Y11" s="28"/>
      <c r="Z11" s="28"/>
      <c r="AA11" s="13"/>
      <c r="AB11" s="28">
        <v>177</v>
      </c>
      <c r="AC11" s="28">
        <v>135</v>
      </c>
      <c r="AD11" s="13"/>
      <c r="AE11" s="28"/>
      <c r="AF11" s="28"/>
      <c r="AG11" s="13"/>
      <c r="AH11" s="28"/>
      <c r="AI11" s="28"/>
      <c r="AJ11" s="13"/>
      <c r="AK11" s="28"/>
      <c r="AL11" s="28"/>
      <c r="AM11" s="13"/>
      <c r="AN11" s="18"/>
      <c r="AO11" s="18"/>
      <c r="AP11" s="23" t="str">
        <f t="shared" si="1"/>
        <v/>
      </c>
    </row>
    <row r="12" spans="1:42" ht="14.25" hidden="1" customHeight="1" x14ac:dyDescent="0.25">
      <c r="A12" s="6" t="s">
        <v>60</v>
      </c>
      <c r="B12" s="7">
        <v>0.94</v>
      </c>
      <c r="C12" s="8" t="s">
        <v>50</v>
      </c>
      <c r="D12" s="16"/>
      <c r="E12" s="16"/>
      <c r="F12" s="13"/>
      <c r="G12" s="16"/>
      <c r="H12" s="16"/>
      <c r="I12" s="13"/>
      <c r="J12" s="16"/>
      <c r="K12" s="16"/>
      <c r="L12" s="32"/>
      <c r="M12" s="16"/>
      <c r="N12" s="16"/>
      <c r="O12" s="32"/>
      <c r="P12" s="16"/>
      <c r="Q12" s="16"/>
      <c r="R12" s="32"/>
      <c r="S12" s="28"/>
      <c r="T12" s="28"/>
      <c r="U12" s="13"/>
      <c r="V12" s="28"/>
      <c r="W12" s="28"/>
      <c r="X12" s="13"/>
      <c r="Y12" s="28"/>
      <c r="Z12" s="28"/>
      <c r="AA12" s="13"/>
      <c r="AB12" s="28">
        <v>802</v>
      </c>
      <c r="AC12" s="28">
        <v>647</v>
      </c>
      <c r="AD12" s="13"/>
      <c r="AE12" s="28"/>
      <c r="AF12" s="28"/>
      <c r="AG12" s="13"/>
      <c r="AH12" s="28"/>
      <c r="AI12" s="28"/>
      <c r="AJ12" s="13"/>
      <c r="AK12" s="28"/>
      <c r="AL12" s="28"/>
      <c r="AM12" s="13"/>
      <c r="AN12" s="18"/>
      <c r="AO12" s="18"/>
      <c r="AP12" s="23" t="str">
        <f t="shared" si="1"/>
        <v/>
      </c>
    </row>
    <row r="13" spans="1:42" ht="14.25" customHeight="1" x14ac:dyDescent="0.25">
      <c r="A13" s="6" t="s">
        <v>60</v>
      </c>
      <c r="B13" s="7">
        <v>0.94</v>
      </c>
      <c r="C13" s="8" t="s">
        <v>51</v>
      </c>
      <c r="D13" s="16">
        <v>583</v>
      </c>
      <c r="E13" s="16">
        <v>576</v>
      </c>
      <c r="F13" s="13">
        <f t="shared" si="2"/>
        <v>0.98799313893653518</v>
      </c>
      <c r="G13" s="16">
        <v>435</v>
      </c>
      <c r="H13" s="16">
        <v>411</v>
      </c>
      <c r="I13" s="13">
        <f t="shared" si="3"/>
        <v>0.94482758620689655</v>
      </c>
      <c r="J13" s="16">
        <v>365</v>
      </c>
      <c r="K13" s="16">
        <v>291</v>
      </c>
      <c r="L13" s="32">
        <f t="shared" si="4"/>
        <v>0.79726027397260268</v>
      </c>
      <c r="M13" s="16">
        <v>44</v>
      </c>
      <c r="N13" s="16">
        <v>37</v>
      </c>
      <c r="O13" s="32">
        <f t="shared" si="5"/>
        <v>0.84090909090909094</v>
      </c>
      <c r="P13" s="16">
        <v>25</v>
      </c>
      <c r="Q13" s="16">
        <v>24</v>
      </c>
      <c r="R13" s="32">
        <f t="shared" si="6"/>
        <v>0.96</v>
      </c>
      <c r="S13" s="28">
        <v>34</v>
      </c>
      <c r="T13" s="28">
        <v>12</v>
      </c>
      <c r="U13" s="13">
        <f>T13/S13</f>
        <v>0.35294117647058826</v>
      </c>
      <c r="V13" s="28"/>
      <c r="W13" s="28"/>
      <c r="X13" s="13"/>
      <c r="Y13" s="28">
        <v>10</v>
      </c>
      <c r="Z13" s="28">
        <v>9</v>
      </c>
      <c r="AA13" s="13">
        <v>0.9</v>
      </c>
      <c r="AB13" s="28">
        <v>7</v>
      </c>
      <c r="AC13" s="28">
        <v>7</v>
      </c>
      <c r="AD13" s="13">
        <f>VLOOKUP(AC13,Planilha1!A:B,2,0)</f>
        <v>1</v>
      </c>
      <c r="AE13" s="28"/>
      <c r="AF13" s="28"/>
      <c r="AG13" s="13"/>
      <c r="AH13" s="28"/>
      <c r="AI13" s="28"/>
      <c r="AJ13" s="13"/>
      <c r="AK13" s="28"/>
      <c r="AL13" s="28"/>
      <c r="AM13" s="13"/>
      <c r="AN13" s="18">
        <f t="shared" si="8"/>
        <v>1503</v>
      </c>
      <c r="AO13" s="18">
        <f t="shared" si="7"/>
        <v>1367</v>
      </c>
      <c r="AP13" s="23">
        <f t="shared" si="1"/>
        <v>0.90951430472388561</v>
      </c>
    </row>
    <row r="14" spans="1:42" ht="14.25" customHeight="1" x14ac:dyDescent="0.25">
      <c r="A14" s="6" t="s">
        <v>60</v>
      </c>
      <c r="B14" s="7">
        <v>0.94</v>
      </c>
      <c r="C14" s="8" t="s">
        <v>52</v>
      </c>
      <c r="D14" s="16">
        <v>317</v>
      </c>
      <c r="E14" s="16">
        <v>257</v>
      </c>
      <c r="F14" s="13">
        <f t="shared" si="2"/>
        <v>0.81072555205047314</v>
      </c>
      <c r="G14" s="16">
        <v>227</v>
      </c>
      <c r="H14" s="16">
        <v>224</v>
      </c>
      <c r="I14" s="13">
        <f t="shared" si="3"/>
        <v>0.986784140969163</v>
      </c>
      <c r="J14" s="16">
        <v>206</v>
      </c>
      <c r="K14" s="16">
        <v>171</v>
      </c>
      <c r="L14" s="32">
        <f t="shared" si="4"/>
        <v>0.83009708737864074</v>
      </c>
      <c r="M14" s="16">
        <v>221</v>
      </c>
      <c r="N14" s="16">
        <v>96</v>
      </c>
      <c r="O14" s="32">
        <f t="shared" si="5"/>
        <v>0.43438914027149322</v>
      </c>
      <c r="P14" s="16">
        <v>79</v>
      </c>
      <c r="Q14" s="16">
        <v>37</v>
      </c>
      <c r="R14" s="32">
        <f t="shared" si="6"/>
        <v>0.46835443037974683</v>
      </c>
      <c r="S14" s="28">
        <v>26</v>
      </c>
      <c r="T14" s="28">
        <v>20</v>
      </c>
      <c r="U14" s="13">
        <f>T14/S14</f>
        <v>0.76923076923076927</v>
      </c>
      <c r="V14" s="28"/>
      <c r="W14" s="28"/>
      <c r="X14" s="13"/>
      <c r="Y14" s="28">
        <v>0</v>
      </c>
      <c r="Z14" s="28">
        <v>0</v>
      </c>
      <c r="AA14" s="13">
        <v>1</v>
      </c>
      <c r="AB14" s="28">
        <v>1</v>
      </c>
      <c r="AC14" s="28">
        <v>1</v>
      </c>
      <c r="AD14" s="13">
        <f>VLOOKUP(AC14,Planilha1!A:B,2,0)</f>
        <v>1</v>
      </c>
      <c r="AE14" s="28"/>
      <c r="AF14" s="28"/>
      <c r="AG14" s="13"/>
      <c r="AH14" s="28"/>
      <c r="AI14" s="28"/>
      <c r="AJ14" s="13"/>
      <c r="AK14" s="28"/>
      <c r="AL14" s="28"/>
      <c r="AM14" s="13"/>
      <c r="AN14" s="18">
        <f t="shared" si="8"/>
        <v>1077</v>
      </c>
      <c r="AO14" s="18">
        <f t="shared" si="7"/>
        <v>806</v>
      </c>
      <c r="AP14" s="23">
        <f t="shared" si="1"/>
        <v>0.74837511606313833</v>
      </c>
    </row>
    <row r="15" spans="1:42" ht="14.25" hidden="1" customHeight="1" x14ac:dyDescent="0.25">
      <c r="A15" s="6" t="s">
        <v>60</v>
      </c>
      <c r="B15" s="7">
        <v>0.94</v>
      </c>
      <c r="C15" s="8" t="s">
        <v>53</v>
      </c>
      <c r="D15" s="16"/>
      <c r="E15" s="16"/>
      <c r="F15" s="13"/>
      <c r="G15" s="16"/>
      <c r="H15" s="16"/>
      <c r="I15" s="13"/>
      <c r="J15" s="16"/>
      <c r="K15" s="16"/>
      <c r="L15" s="32"/>
      <c r="M15" s="16"/>
      <c r="N15" s="16"/>
      <c r="O15" s="32"/>
      <c r="P15" s="16"/>
      <c r="Q15" s="16"/>
      <c r="R15" s="32"/>
      <c r="S15" s="28"/>
      <c r="T15" s="28"/>
      <c r="U15" s="13"/>
      <c r="V15" s="28"/>
      <c r="W15" s="28"/>
      <c r="X15" s="13"/>
      <c r="Y15" s="28"/>
      <c r="Z15" s="28"/>
      <c r="AA15" s="13"/>
      <c r="AB15" s="28"/>
      <c r="AC15" s="28"/>
      <c r="AD15" s="13"/>
      <c r="AE15" s="28"/>
      <c r="AF15" s="28"/>
      <c r="AG15" s="13"/>
      <c r="AH15" s="28"/>
      <c r="AI15" s="28"/>
      <c r="AJ15" s="13"/>
      <c r="AK15" s="28"/>
      <c r="AL15" s="28"/>
      <c r="AM15" s="13"/>
      <c r="AN15" s="18">
        <f t="shared" si="8"/>
        <v>0</v>
      </c>
      <c r="AO15" s="18">
        <f t="shared" si="7"/>
        <v>0</v>
      </c>
      <c r="AP15" s="23" t="str">
        <f t="shared" si="1"/>
        <v/>
      </c>
    </row>
    <row r="16" spans="1:42" ht="14.25" hidden="1" customHeight="1" x14ac:dyDescent="0.25">
      <c r="A16" s="6" t="s">
        <v>60</v>
      </c>
      <c r="B16" s="7">
        <v>0.94</v>
      </c>
      <c r="C16" s="8" t="s">
        <v>54</v>
      </c>
      <c r="D16" s="16"/>
      <c r="E16" s="16"/>
      <c r="F16" s="13"/>
      <c r="G16" s="16"/>
      <c r="H16" s="16"/>
      <c r="I16" s="13"/>
      <c r="J16" s="16"/>
      <c r="K16" s="16"/>
      <c r="L16" s="32"/>
      <c r="M16" s="16"/>
      <c r="N16" s="16"/>
      <c r="O16" s="32"/>
      <c r="P16" s="16"/>
      <c r="Q16" s="16"/>
      <c r="R16" s="32"/>
      <c r="S16" s="28"/>
      <c r="T16" s="28"/>
      <c r="U16" s="13"/>
      <c r="V16" s="28"/>
      <c r="W16" s="28"/>
      <c r="X16" s="13"/>
      <c r="Y16" s="28"/>
      <c r="Z16" s="28"/>
      <c r="AA16" s="13"/>
      <c r="AB16" s="28"/>
      <c r="AC16" s="28"/>
      <c r="AD16" s="13"/>
      <c r="AE16" s="28"/>
      <c r="AF16" s="28"/>
      <c r="AG16" s="13"/>
      <c r="AH16" s="28"/>
      <c r="AI16" s="28"/>
      <c r="AJ16" s="13"/>
      <c r="AK16" s="28"/>
      <c r="AL16" s="28"/>
      <c r="AM16" s="13"/>
      <c r="AN16" s="18">
        <f t="shared" si="8"/>
        <v>0</v>
      </c>
      <c r="AO16" s="18">
        <f t="shared" si="7"/>
        <v>0</v>
      </c>
      <c r="AP16" s="23" t="str">
        <f t="shared" si="1"/>
        <v/>
      </c>
    </row>
    <row r="17" spans="1:42" ht="14.25" hidden="1" customHeight="1" x14ac:dyDescent="0.25">
      <c r="A17" s="6" t="s">
        <v>60</v>
      </c>
      <c r="B17" s="7">
        <v>0.94</v>
      </c>
      <c r="C17" s="8" t="s">
        <v>59</v>
      </c>
      <c r="D17" s="16">
        <v>82</v>
      </c>
      <c r="E17" s="16">
        <v>64</v>
      </c>
      <c r="F17" s="13">
        <f t="shared" ref="F17" si="9">E17/D17</f>
        <v>0.78048780487804881</v>
      </c>
      <c r="G17" s="16">
        <v>36</v>
      </c>
      <c r="H17" s="16">
        <v>36</v>
      </c>
      <c r="I17" s="13">
        <f t="shared" ref="I17" si="10">H17/G17</f>
        <v>1</v>
      </c>
      <c r="J17" s="16">
        <v>22</v>
      </c>
      <c r="K17" s="16">
        <v>22</v>
      </c>
      <c r="L17" s="32">
        <f t="shared" si="4"/>
        <v>1</v>
      </c>
      <c r="M17" s="16">
        <v>37</v>
      </c>
      <c r="N17" s="16">
        <v>0</v>
      </c>
      <c r="O17" s="32">
        <f t="shared" si="5"/>
        <v>0</v>
      </c>
      <c r="P17" s="16"/>
      <c r="Q17" s="16"/>
      <c r="R17" s="32"/>
      <c r="S17" s="28"/>
      <c r="T17" s="28"/>
      <c r="U17" s="13"/>
      <c r="V17" s="28"/>
      <c r="W17" s="28"/>
      <c r="X17" s="13"/>
      <c r="Y17" s="28"/>
      <c r="Z17" s="28"/>
      <c r="AA17" s="13"/>
      <c r="AB17" s="28"/>
      <c r="AC17" s="28"/>
      <c r="AD17" s="13"/>
      <c r="AE17" s="28"/>
      <c r="AF17" s="28"/>
      <c r="AG17" s="13"/>
      <c r="AH17" s="28"/>
      <c r="AI17" s="28"/>
      <c r="AJ17" s="13"/>
      <c r="AK17" s="28"/>
      <c r="AL17" s="28"/>
      <c r="AM17" s="13"/>
      <c r="AN17" s="18"/>
      <c r="AO17" s="18"/>
      <c r="AP17" s="23" t="str">
        <f t="shared" si="1"/>
        <v/>
      </c>
    </row>
    <row r="18" spans="1:42" ht="14.25" customHeight="1" x14ac:dyDescent="0.25">
      <c r="A18" s="6" t="s">
        <v>60</v>
      </c>
      <c r="B18" s="7">
        <v>0.94</v>
      </c>
      <c r="C18" s="8" t="s">
        <v>62</v>
      </c>
      <c r="D18" s="16">
        <v>149</v>
      </c>
      <c r="E18" s="16">
        <v>121</v>
      </c>
      <c r="F18" s="13">
        <f t="shared" si="2"/>
        <v>0.81208053691275173</v>
      </c>
      <c r="G18" s="16">
        <v>121</v>
      </c>
      <c r="H18" s="16">
        <v>48</v>
      </c>
      <c r="I18" s="13">
        <f t="shared" si="3"/>
        <v>0.39669421487603307</v>
      </c>
      <c r="J18" s="16">
        <v>147</v>
      </c>
      <c r="K18" s="16">
        <v>73</v>
      </c>
      <c r="L18" s="32">
        <f t="shared" si="4"/>
        <v>0.49659863945578231</v>
      </c>
      <c r="M18" s="16">
        <v>259</v>
      </c>
      <c r="N18" s="16">
        <v>148</v>
      </c>
      <c r="O18" s="32">
        <f t="shared" si="5"/>
        <v>0.5714285714285714</v>
      </c>
      <c r="P18" s="16">
        <v>270</v>
      </c>
      <c r="Q18" s="16">
        <v>124</v>
      </c>
      <c r="R18" s="32">
        <f t="shared" si="6"/>
        <v>0.45925925925925926</v>
      </c>
      <c r="S18" s="28">
        <v>172</v>
      </c>
      <c r="T18" s="28">
        <v>26</v>
      </c>
      <c r="U18" s="13">
        <f>T18/S18</f>
        <v>0.15116279069767441</v>
      </c>
      <c r="V18" s="28"/>
      <c r="W18" s="28"/>
      <c r="X18" s="13"/>
      <c r="Y18" s="28">
        <v>234</v>
      </c>
      <c r="Z18" s="28">
        <v>125</v>
      </c>
      <c r="AA18" s="13">
        <v>0.53418803418803418</v>
      </c>
      <c r="AB18" s="28">
        <v>177</v>
      </c>
      <c r="AC18" s="28">
        <v>135</v>
      </c>
      <c r="AD18" s="13">
        <f>VLOOKUP(AC18,Planilha1!A:B,2,0)</f>
        <v>0.76271186440677963</v>
      </c>
      <c r="AE18" s="28"/>
      <c r="AF18" s="28"/>
      <c r="AG18" s="13"/>
      <c r="AH18" s="28"/>
      <c r="AI18" s="28"/>
      <c r="AJ18" s="13"/>
      <c r="AK18" s="28"/>
      <c r="AL18" s="28"/>
      <c r="AM18" s="13"/>
      <c r="AN18" s="18">
        <f t="shared" si="8"/>
        <v>1529</v>
      </c>
      <c r="AO18" s="18">
        <f t="shared" si="7"/>
        <v>800</v>
      </c>
      <c r="AP18" s="23">
        <f t="shared" si="1"/>
        <v>0.52321778940483976</v>
      </c>
    </row>
    <row r="19" spans="1:42" ht="14.25" customHeight="1" x14ac:dyDescent="0.25">
      <c r="A19" s="6" t="s">
        <v>60</v>
      </c>
      <c r="B19" s="7">
        <v>0.94</v>
      </c>
      <c r="C19" s="8" t="s">
        <v>63</v>
      </c>
      <c r="D19" s="16">
        <v>58</v>
      </c>
      <c r="E19" s="16">
        <v>44</v>
      </c>
      <c r="F19" s="13">
        <f t="shared" si="2"/>
        <v>0.75862068965517238</v>
      </c>
      <c r="G19" s="16">
        <v>44</v>
      </c>
      <c r="H19" s="16">
        <v>14</v>
      </c>
      <c r="I19" s="13">
        <f t="shared" si="3"/>
        <v>0.31818181818181818</v>
      </c>
      <c r="J19" s="16">
        <v>107</v>
      </c>
      <c r="K19" s="16">
        <v>17</v>
      </c>
      <c r="L19" s="32">
        <f t="shared" si="4"/>
        <v>0.15887850467289719</v>
      </c>
      <c r="M19" s="16">
        <v>127</v>
      </c>
      <c r="N19" s="16">
        <v>57</v>
      </c>
      <c r="O19" s="32">
        <f t="shared" si="5"/>
        <v>0.44881889763779526</v>
      </c>
      <c r="P19" s="16">
        <v>482</v>
      </c>
      <c r="Q19" s="16">
        <v>81</v>
      </c>
      <c r="R19" s="32">
        <f t="shared" si="6"/>
        <v>0.16804979253112035</v>
      </c>
      <c r="S19" s="28">
        <v>928</v>
      </c>
      <c r="T19" s="28">
        <v>142</v>
      </c>
      <c r="U19" s="13">
        <f>T19/S19</f>
        <v>0.15301724137931033</v>
      </c>
      <c r="V19" s="28"/>
      <c r="W19" s="28"/>
      <c r="X19" s="13"/>
      <c r="Y19" s="28">
        <v>896</v>
      </c>
      <c r="Z19" s="28">
        <v>639</v>
      </c>
      <c r="AA19" s="13">
        <v>0.7131696428571429</v>
      </c>
      <c r="AB19" s="28">
        <v>802</v>
      </c>
      <c r="AC19" s="28">
        <v>647</v>
      </c>
      <c r="AD19" s="13">
        <f>VLOOKUP(AC19,Planilha1!A:B,2,0)</f>
        <v>0.80673316708229426</v>
      </c>
      <c r="AE19" s="28"/>
      <c r="AF19" s="28"/>
      <c r="AG19" s="13"/>
      <c r="AH19" s="28"/>
      <c r="AI19" s="28"/>
      <c r="AJ19" s="13"/>
      <c r="AK19" s="28"/>
      <c r="AL19" s="28"/>
      <c r="AM19" s="13"/>
      <c r="AN19" s="18">
        <f t="shared" si="8"/>
        <v>3444</v>
      </c>
      <c r="AO19" s="18">
        <f t="shared" si="7"/>
        <v>1641</v>
      </c>
      <c r="AP19" s="23">
        <f t="shared" si="1"/>
        <v>0.47648083623693382</v>
      </c>
    </row>
    <row r="20" spans="1:42" ht="14.25" hidden="1" customHeight="1" x14ac:dyDescent="0.25">
      <c r="A20" s="6" t="s">
        <v>60</v>
      </c>
      <c r="B20" s="7">
        <v>0.94</v>
      </c>
      <c r="C20" s="8" t="s">
        <v>64</v>
      </c>
      <c r="D20" s="16"/>
      <c r="E20" s="16"/>
      <c r="F20" s="13"/>
      <c r="G20" s="16"/>
      <c r="H20" s="16"/>
      <c r="I20" s="13"/>
      <c r="J20" s="16"/>
      <c r="K20" s="16"/>
      <c r="L20" s="32"/>
      <c r="M20" s="16"/>
      <c r="N20" s="16"/>
      <c r="O20" s="32"/>
      <c r="P20" s="16"/>
      <c r="Q20" s="16"/>
      <c r="R20" s="32"/>
      <c r="S20" s="28"/>
      <c r="T20" s="28"/>
      <c r="U20" s="13"/>
      <c r="V20" s="28"/>
      <c r="W20" s="28"/>
      <c r="X20" s="13"/>
      <c r="Y20" s="28"/>
      <c r="Z20" s="28"/>
      <c r="AA20" s="13"/>
      <c r="AB20" s="28"/>
      <c r="AC20" s="28"/>
      <c r="AD20" s="13"/>
      <c r="AE20" s="28"/>
      <c r="AF20" s="28"/>
      <c r="AG20" s="13"/>
      <c r="AH20" s="28"/>
      <c r="AI20" s="28"/>
      <c r="AJ20" s="13"/>
      <c r="AK20" s="28"/>
      <c r="AL20" s="28"/>
      <c r="AM20" s="13"/>
      <c r="AN20" s="18">
        <f t="shared" si="8"/>
        <v>0</v>
      </c>
      <c r="AO20" s="18">
        <f t="shared" si="7"/>
        <v>0</v>
      </c>
      <c r="AP20" s="23" t="str">
        <f t="shared" si="1"/>
        <v/>
      </c>
    </row>
    <row r="21" spans="1:42" ht="14.25" hidden="1" customHeight="1" x14ac:dyDescent="0.25">
      <c r="A21" s="11" t="s">
        <v>61</v>
      </c>
      <c r="B21" s="7">
        <v>0.94</v>
      </c>
      <c r="C21" s="12" t="s">
        <v>56</v>
      </c>
      <c r="D21" s="16"/>
      <c r="E21" s="16"/>
      <c r="F21" s="13"/>
      <c r="G21" s="16"/>
      <c r="H21" s="16"/>
      <c r="I21" s="13"/>
      <c r="J21" s="16"/>
      <c r="K21" s="16"/>
      <c r="L21" s="32"/>
      <c r="M21" s="16"/>
      <c r="N21" s="16"/>
      <c r="O21" s="32"/>
      <c r="P21" s="16"/>
      <c r="Q21" s="16"/>
      <c r="R21" s="32"/>
      <c r="S21" s="28"/>
      <c r="T21" s="28"/>
      <c r="U21" s="13"/>
      <c r="V21" s="28"/>
      <c r="W21" s="28"/>
      <c r="X21" s="13"/>
      <c r="Y21" s="28"/>
      <c r="Z21" s="28"/>
      <c r="AA21" s="13"/>
      <c r="AB21" s="28"/>
      <c r="AC21" s="28"/>
      <c r="AD21" s="13"/>
      <c r="AE21" s="28"/>
      <c r="AF21" s="28"/>
      <c r="AG21" s="13"/>
      <c r="AH21" s="28"/>
      <c r="AI21" s="28"/>
      <c r="AJ21" s="13"/>
      <c r="AK21" s="28"/>
      <c r="AL21" s="28"/>
      <c r="AM21" s="13"/>
      <c r="AN21" s="18"/>
      <c r="AO21" s="18"/>
      <c r="AP21" s="23" t="str">
        <f t="shared" si="1"/>
        <v/>
      </c>
    </row>
    <row r="22" spans="1:42" ht="14.25" hidden="1" customHeight="1" x14ac:dyDescent="0.25">
      <c r="A22" s="11" t="s">
        <v>61</v>
      </c>
      <c r="B22" s="7">
        <v>0.94</v>
      </c>
      <c r="C22" s="12" t="s">
        <v>57</v>
      </c>
      <c r="D22" s="16"/>
      <c r="E22" s="16"/>
      <c r="F22" s="13"/>
      <c r="G22" s="16"/>
      <c r="H22" s="16"/>
      <c r="I22" s="13"/>
      <c r="J22" s="16"/>
      <c r="K22" s="16"/>
      <c r="L22" s="32"/>
      <c r="M22" s="16"/>
      <c r="N22" s="16"/>
      <c r="O22" s="32"/>
      <c r="P22" s="16"/>
      <c r="Q22" s="16"/>
      <c r="R22" s="32"/>
      <c r="S22" s="28"/>
      <c r="T22" s="28"/>
      <c r="U22" s="13"/>
      <c r="V22" s="28"/>
      <c r="W22" s="28"/>
      <c r="X22" s="13"/>
      <c r="Y22" s="28"/>
      <c r="Z22" s="28"/>
      <c r="AA22" s="13"/>
      <c r="AB22" s="28"/>
      <c r="AC22" s="28"/>
      <c r="AD22" s="13"/>
      <c r="AE22" s="28"/>
      <c r="AF22" s="28"/>
      <c r="AG22" s="13"/>
      <c r="AH22" s="28"/>
      <c r="AI22" s="28"/>
      <c r="AJ22" s="13"/>
      <c r="AK22" s="28"/>
      <c r="AL22" s="28"/>
      <c r="AM22" s="13"/>
      <c r="AN22" s="18"/>
      <c r="AO22" s="18"/>
      <c r="AP22" s="23" t="str">
        <f t="shared" si="1"/>
        <v/>
      </c>
    </row>
    <row r="23" spans="1:42" ht="14.25" customHeight="1" x14ac:dyDescent="0.25">
      <c r="A23" s="11" t="s">
        <v>61</v>
      </c>
      <c r="B23" s="7">
        <v>0.94</v>
      </c>
      <c r="C23" s="12" t="s">
        <v>58</v>
      </c>
      <c r="D23" s="16">
        <v>320</v>
      </c>
      <c r="E23" s="16">
        <v>169</v>
      </c>
      <c r="F23" s="13">
        <f t="shared" si="2"/>
        <v>0.52812499999999996</v>
      </c>
      <c r="G23" s="16">
        <v>301</v>
      </c>
      <c r="H23" s="16">
        <v>270</v>
      </c>
      <c r="I23" s="13">
        <v>0.9</v>
      </c>
      <c r="J23" s="16">
        <v>298</v>
      </c>
      <c r="K23" s="16">
        <v>250</v>
      </c>
      <c r="L23" s="32">
        <f t="shared" si="4"/>
        <v>0.83892617449664431</v>
      </c>
      <c r="M23" s="16">
        <v>253</v>
      </c>
      <c r="N23" s="16">
        <v>210</v>
      </c>
      <c r="O23" s="32">
        <f>N23/M23</f>
        <v>0.83003952569169959</v>
      </c>
      <c r="P23" s="16">
        <v>381</v>
      </c>
      <c r="Q23" s="16">
        <v>366</v>
      </c>
      <c r="R23" s="32">
        <f>Q23/P23</f>
        <v>0.96062992125984248</v>
      </c>
      <c r="S23" s="28">
        <v>255</v>
      </c>
      <c r="T23" s="28">
        <v>188</v>
      </c>
      <c r="U23" s="13">
        <f>T23/S23</f>
        <v>0.73725490196078436</v>
      </c>
      <c r="V23" s="28">
        <v>189</v>
      </c>
      <c r="W23" s="28">
        <v>180</v>
      </c>
      <c r="X23" s="13">
        <v>0.95240000000000002</v>
      </c>
      <c r="Y23" s="28">
        <v>173</v>
      </c>
      <c r="Z23" s="28">
        <v>166</v>
      </c>
      <c r="AA23" s="13">
        <v>0.95950000000000002</v>
      </c>
      <c r="AB23" s="28">
        <v>177</v>
      </c>
      <c r="AC23" s="28">
        <v>6</v>
      </c>
      <c r="AD23" s="13">
        <f>VLOOKUP(AC23,Planilha1!A:B,2,0)</f>
        <v>3.3898305084745763E-2</v>
      </c>
      <c r="AE23" s="28"/>
      <c r="AF23" s="28"/>
      <c r="AG23" s="13"/>
      <c r="AH23" s="28"/>
      <c r="AI23" s="28"/>
      <c r="AJ23" s="13"/>
      <c r="AK23" s="28"/>
      <c r="AL23" s="28"/>
      <c r="AM23" s="13"/>
      <c r="AN23" s="18">
        <f t="shared" si="8"/>
        <v>2347</v>
      </c>
      <c r="AO23" s="18">
        <f t="shared" si="7"/>
        <v>1805</v>
      </c>
      <c r="AP23" s="23">
        <f t="shared" si="1"/>
        <v>0.76906689390711547</v>
      </c>
    </row>
    <row r="24" spans="1:42" ht="14.25" customHeight="1" x14ac:dyDescent="0.25">
      <c r="A24" s="11" t="s">
        <v>61</v>
      </c>
      <c r="B24" s="7">
        <v>0.94</v>
      </c>
      <c r="C24" s="12" t="s">
        <v>43</v>
      </c>
      <c r="D24" s="16">
        <v>25</v>
      </c>
      <c r="E24" s="16">
        <v>23</v>
      </c>
      <c r="F24" s="13">
        <f t="shared" si="2"/>
        <v>0.92</v>
      </c>
      <c r="G24" s="16">
        <v>7</v>
      </c>
      <c r="H24" s="16">
        <v>4</v>
      </c>
      <c r="I24" s="13">
        <f t="shared" si="3"/>
        <v>0.5714285714285714</v>
      </c>
      <c r="J24" s="16">
        <v>27</v>
      </c>
      <c r="K24" s="16">
        <v>8</v>
      </c>
      <c r="L24" s="32">
        <f t="shared" si="4"/>
        <v>0.29629629629629628</v>
      </c>
      <c r="M24" s="16">
        <v>25</v>
      </c>
      <c r="N24" s="16">
        <v>22</v>
      </c>
      <c r="O24" s="32">
        <f t="shared" si="5"/>
        <v>0.88</v>
      </c>
      <c r="P24" s="16">
        <v>22</v>
      </c>
      <c r="Q24" s="16">
        <v>12</v>
      </c>
      <c r="R24" s="32">
        <f t="shared" si="6"/>
        <v>0.54545454545454541</v>
      </c>
      <c r="S24" s="28">
        <v>12</v>
      </c>
      <c r="T24" s="28">
        <v>9</v>
      </c>
      <c r="U24" s="13">
        <f>T24/S24</f>
        <v>0.75</v>
      </c>
      <c r="V24" s="28">
        <v>32</v>
      </c>
      <c r="W24" s="28">
        <v>22</v>
      </c>
      <c r="X24" s="13">
        <v>0.69</v>
      </c>
      <c r="Y24" s="28">
        <v>3</v>
      </c>
      <c r="Z24" s="28">
        <v>1</v>
      </c>
      <c r="AA24" s="13">
        <v>0.33333333333333331</v>
      </c>
      <c r="AB24" s="28">
        <v>24</v>
      </c>
      <c r="AC24" s="28">
        <v>17</v>
      </c>
      <c r="AD24" s="13">
        <f>VLOOKUP(AC24,Planilha1!A:B,2,0)</f>
        <v>0.70833333333333337</v>
      </c>
      <c r="AE24" s="28"/>
      <c r="AF24" s="28"/>
      <c r="AG24" s="13"/>
      <c r="AH24" s="28"/>
      <c r="AI24" s="28"/>
      <c r="AJ24" s="13"/>
      <c r="AK24" s="28"/>
      <c r="AL24" s="28"/>
      <c r="AM24" s="13"/>
      <c r="AN24" s="18">
        <f t="shared" si="8"/>
        <v>177</v>
      </c>
      <c r="AO24" s="18">
        <f t="shared" si="7"/>
        <v>118</v>
      </c>
      <c r="AP24" s="23">
        <f t="shared" si="1"/>
        <v>0.66666666666666663</v>
      </c>
    </row>
    <row r="25" spans="1:42" ht="14.25" customHeight="1" x14ac:dyDescent="0.3">
      <c r="A25" s="11" t="s">
        <v>61</v>
      </c>
      <c r="B25" s="7">
        <v>0.94</v>
      </c>
      <c r="C25" s="12" t="s">
        <v>44</v>
      </c>
      <c r="D25" s="16">
        <v>266</v>
      </c>
      <c r="E25" s="16">
        <v>255</v>
      </c>
      <c r="F25" s="13">
        <f t="shared" si="2"/>
        <v>0.95864661654135341</v>
      </c>
      <c r="G25" s="16">
        <v>165</v>
      </c>
      <c r="H25" s="16">
        <v>147</v>
      </c>
      <c r="I25" s="13">
        <f t="shared" si="3"/>
        <v>0.89090909090909087</v>
      </c>
      <c r="J25" s="16">
        <v>112</v>
      </c>
      <c r="K25" s="16">
        <v>112</v>
      </c>
      <c r="L25" s="32">
        <f t="shared" si="4"/>
        <v>1</v>
      </c>
      <c r="M25" s="16">
        <v>188</v>
      </c>
      <c r="N25" s="16">
        <v>178</v>
      </c>
      <c r="O25" s="32">
        <f t="shared" si="5"/>
        <v>0.94680851063829785</v>
      </c>
      <c r="P25" s="16">
        <v>358</v>
      </c>
      <c r="Q25" s="16">
        <v>348</v>
      </c>
      <c r="R25" s="32">
        <f t="shared" si="6"/>
        <v>0.97206703910614523</v>
      </c>
      <c r="S25" s="28">
        <v>211</v>
      </c>
      <c r="T25" s="28">
        <v>205</v>
      </c>
      <c r="U25" s="13">
        <f>T25/S25</f>
        <v>0.97156398104265407</v>
      </c>
      <c r="V25" s="28">
        <v>289</v>
      </c>
      <c r="W25" s="28">
        <v>283</v>
      </c>
      <c r="X25" s="13">
        <v>0.98</v>
      </c>
      <c r="Y25" s="28">
        <v>206</v>
      </c>
      <c r="Z25" s="28">
        <v>205</v>
      </c>
      <c r="AA25" s="13">
        <v>0.99509999999999998</v>
      </c>
      <c r="AB25" s="35">
        <v>305</v>
      </c>
      <c r="AC25" s="35">
        <v>301</v>
      </c>
      <c r="AD25" s="13">
        <f>VLOOKUP(AC25,Planilha1!A:B,2,0)</f>
        <v>0.9868852459016394</v>
      </c>
      <c r="AE25" s="28"/>
      <c r="AF25" s="28"/>
      <c r="AG25" s="13"/>
      <c r="AH25" s="28"/>
      <c r="AI25" s="28"/>
      <c r="AJ25" s="13"/>
      <c r="AK25" s="28"/>
      <c r="AL25" s="28"/>
      <c r="AM25" s="13"/>
      <c r="AN25" s="18">
        <f t="shared" si="8"/>
        <v>2100</v>
      </c>
      <c r="AO25" s="18">
        <f t="shared" si="7"/>
        <v>2034</v>
      </c>
      <c r="AP25" s="23">
        <f t="shared" si="1"/>
        <v>0.96857142857142853</v>
      </c>
    </row>
    <row r="26" spans="1:42" ht="14.25" hidden="1" customHeight="1" x14ac:dyDescent="0.25">
      <c r="A26" s="11" t="s">
        <v>61</v>
      </c>
      <c r="B26" s="7">
        <v>0.94</v>
      </c>
      <c r="C26" s="12" t="s">
        <v>45</v>
      </c>
      <c r="D26" s="16"/>
      <c r="E26" s="16"/>
      <c r="F26" s="13"/>
      <c r="G26" s="16"/>
      <c r="H26" s="16"/>
      <c r="I26" s="13"/>
      <c r="J26" s="16"/>
      <c r="K26" s="16"/>
      <c r="L26" s="32"/>
      <c r="M26" s="16"/>
      <c r="N26" s="16"/>
      <c r="O26" s="32"/>
      <c r="P26" s="16"/>
      <c r="Q26" s="16"/>
      <c r="R26" s="32"/>
      <c r="S26" s="28"/>
      <c r="T26" s="28"/>
      <c r="U26" s="13"/>
      <c r="V26" s="28"/>
      <c r="W26" s="28"/>
      <c r="X26" s="13"/>
      <c r="Y26" s="28"/>
      <c r="Z26" s="28"/>
      <c r="AA26" s="13"/>
      <c r="AB26" s="28"/>
      <c r="AC26" s="28"/>
      <c r="AD26" s="13"/>
      <c r="AE26" s="28"/>
      <c r="AF26" s="28"/>
      <c r="AG26" s="13"/>
      <c r="AH26" s="28"/>
      <c r="AI26" s="28"/>
      <c r="AJ26" s="13"/>
      <c r="AK26" s="28"/>
      <c r="AL26" s="28"/>
      <c r="AM26" s="13"/>
      <c r="AN26" s="18"/>
      <c r="AO26" s="18"/>
      <c r="AP26" s="23" t="str">
        <f t="shared" si="1"/>
        <v/>
      </c>
    </row>
    <row r="27" spans="1:42" ht="14.25" customHeight="1" x14ac:dyDescent="0.25">
      <c r="A27" s="11" t="s">
        <v>61</v>
      </c>
      <c r="B27" s="7">
        <v>0.94</v>
      </c>
      <c r="C27" s="12" t="s">
        <v>46</v>
      </c>
      <c r="D27" s="16">
        <v>409</v>
      </c>
      <c r="E27" s="16">
        <v>204</v>
      </c>
      <c r="F27" s="13">
        <f t="shared" si="2"/>
        <v>0.49877750611246946</v>
      </c>
      <c r="G27" s="16">
        <v>639</v>
      </c>
      <c r="H27" s="16">
        <v>383</v>
      </c>
      <c r="I27" s="13">
        <f t="shared" si="3"/>
        <v>0.59937402190923317</v>
      </c>
      <c r="J27" s="16">
        <v>311</v>
      </c>
      <c r="K27" s="16">
        <v>234</v>
      </c>
      <c r="L27" s="32">
        <f t="shared" si="4"/>
        <v>0.752411575562701</v>
      </c>
      <c r="M27" s="16">
        <v>561</v>
      </c>
      <c r="N27" s="16">
        <v>319</v>
      </c>
      <c r="O27" s="32">
        <f t="shared" si="5"/>
        <v>0.56862745098039214</v>
      </c>
      <c r="P27" s="16">
        <v>636</v>
      </c>
      <c r="Q27" s="16">
        <v>379</v>
      </c>
      <c r="R27" s="32">
        <f t="shared" si="6"/>
        <v>0.59591194968553463</v>
      </c>
      <c r="S27" s="28">
        <v>590</v>
      </c>
      <c r="T27" s="28">
        <v>512</v>
      </c>
      <c r="U27" s="13">
        <f>T27/S27</f>
        <v>0.8677966101694915</v>
      </c>
      <c r="V27" s="28">
        <v>457</v>
      </c>
      <c r="W27" s="28">
        <v>380</v>
      </c>
      <c r="X27" s="13">
        <v>0.83</v>
      </c>
      <c r="Y27" s="28">
        <v>570</v>
      </c>
      <c r="Z27" s="28">
        <v>479</v>
      </c>
      <c r="AA27" s="13">
        <v>0.8403508771929824</v>
      </c>
      <c r="AB27" s="28">
        <v>461</v>
      </c>
      <c r="AC27" s="28">
        <v>419</v>
      </c>
      <c r="AD27" s="13">
        <f>VLOOKUP(AC27,Planilha1!A:B,2,0)</f>
        <v>0.90889370932754876</v>
      </c>
      <c r="AE27" s="28"/>
      <c r="AF27" s="28"/>
      <c r="AG27" s="13"/>
      <c r="AH27" s="28"/>
      <c r="AI27" s="28"/>
      <c r="AJ27" s="13"/>
      <c r="AK27" s="28"/>
      <c r="AL27" s="28"/>
      <c r="AM27" s="13"/>
      <c r="AN27" s="18">
        <f t="shared" si="8"/>
        <v>4634</v>
      </c>
      <c r="AO27" s="18">
        <f t="shared" si="7"/>
        <v>3309</v>
      </c>
      <c r="AP27" s="23">
        <f t="shared" si="1"/>
        <v>0.71406991799741049</v>
      </c>
    </row>
    <row r="28" spans="1:42" ht="14.25" customHeight="1" x14ac:dyDescent="0.25">
      <c r="A28" s="11" t="s">
        <v>61</v>
      </c>
      <c r="B28" s="7">
        <v>0.94</v>
      </c>
      <c r="C28" s="12" t="s">
        <v>47</v>
      </c>
      <c r="D28" s="16">
        <v>214</v>
      </c>
      <c r="E28" s="16">
        <v>192</v>
      </c>
      <c r="F28" s="13">
        <v>0.9</v>
      </c>
      <c r="G28" s="16">
        <v>238</v>
      </c>
      <c r="H28" s="16">
        <v>223</v>
      </c>
      <c r="I28" s="13">
        <f t="shared" si="3"/>
        <v>0.93697478991596639</v>
      </c>
      <c r="J28" s="16">
        <v>150</v>
      </c>
      <c r="K28" s="16">
        <v>146</v>
      </c>
      <c r="L28" s="32">
        <f>K28/J28</f>
        <v>0.97333333333333338</v>
      </c>
      <c r="M28" s="16">
        <v>259</v>
      </c>
      <c r="N28" s="16">
        <v>209</v>
      </c>
      <c r="O28" s="32">
        <v>0.81</v>
      </c>
      <c r="P28" s="16">
        <v>211</v>
      </c>
      <c r="Q28" s="16">
        <v>207</v>
      </c>
      <c r="R28" s="32">
        <f t="shared" si="6"/>
        <v>0.98104265402843605</v>
      </c>
      <c r="S28" s="28">
        <v>355</v>
      </c>
      <c r="T28" s="28">
        <v>344</v>
      </c>
      <c r="U28" s="13">
        <f>T28/S28</f>
        <v>0.96901408450704229</v>
      </c>
      <c r="V28" s="28">
        <v>279</v>
      </c>
      <c r="W28" s="28">
        <v>268</v>
      </c>
      <c r="X28" s="13">
        <v>0.96</v>
      </c>
      <c r="Y28" s="28">
        <v>173</v>
      </c>
      <c r="Z28" s="28">
        <v>164</v>
      </c>
      <c r="AA28" s="13">
        <v>0.9677</v>
      </c>
      <c r="AB28" s="28">
        <v>194</v>
      </c>
      <c r="AC28" s="28">
        <v>191</v>
      </c>
      <c r="AD28" s="13">
        <f>VLOOKUP(AC28,Planilha1!A:B,2,0)</f>
        <v>0.98453608247422686</v>
      </c>
      <c r="AE28" s="28"/>
      <c r="AF28" s="28"/>
      <c r="AG28" s="13"/>
      <c r="AH28" s="28"/>
      <c r="AI28" s="28"/>
      <c r="AJ28" s="13"/>
      <c r="AK28" s="28"/>
      <c r="AL28" s="28"/>
      <c r="AM28" s="13"/>
      <c r="AN28" s="18">
        <f t="shared" si="8"/>
        <v>2073</v>
      </c>
      <c r="AO28" s="18">
        <f t="shared" si="7"/>
        <v>1944</v>
      </c>
      <c r="AP28" s="23">
        <f t="shared" si="1"/>
        <v>0.93777134587554267</v>
      </c>
    </row>
    <row r="29" spans="1:42" ht="14.25" hidden="1" customHeight="1" x14ac:dyDescent="0.25">
      <c r="A29" s="11" t="s">
        <v>61</v>
      </c>
      <c r="B29" s="7">
        <v>0.94</v>
      </c>
      <c r="C29" s="12" t="s">
        <v>48</v>
      </c>
      <c r="D29" s="16"/>
      <c r="E29" s="16"/>
      <c r="F29" s="13"/>
      <c r="G29" s="16">
        <v>3</v>
      </c>
      <c r="H29" s="16">
        <v>3</v>
      </c>
      <c r="I29" s="13"/>
      <c r="J29" s="16">
        <v>2</v>
      </c>
      <c r="K29" s="16">
        <v>1</v>
      </c>
      <c r="L29" s="32">
        <f t="shared" si="4"/>
        <v>0.5</v>
      </c>
      <c r="M29" s="16">
        <v>7</v>
      </c>
      <c r="N29" s="16">
        <v>1</v>
      </c>
      <c r="O29" s="32">
        <f t="shared" si="5"/>
        <v>0.14285714285714285</v>
      </c>
      <c r="P29" s="16"/>
      <c r="Q29" s="16"/>
      <c r="R29" s="32"/>
      <c r="S29" s="28">
        <v>9</v>
      </c>
      <c r="T29" s="28">
        <v>4</v>
      </c>
      <c r="U29" s="13">
        <f>T29/S29</f>
        <v>0.44444444444444442</v>
      </c>
      <c r="V29" s="28"/>
      <c r="W29" s="28"/>
      <c r="X29" s="13"/>
      <c r="Y29" s="28"/>
      <c r="Z29" s="28"/>
      <c r="AA29" s="13"/>
      <c r="AB29" s="28"/>
      <c r="AC29" s="28"/>
      <c r="AD29" s="13"/>
      <c r="AE29" s="28"/>
      <c r="AF29" s="28"/>
      <c r="AG29" s="13"/>
      <c r="AH29" s="28"/>
      <c r="AI29" s="28"/>
      <c r="AJ29" s="13"/>
      <c r="AK29" s="28"/>
      <c r="AL29" s="28"/>
      <c r="AM29" s="13"/>
      <c r="AN29" s="18">
        <f t="shared" si="8"/>
        <v>21</v>
      </c>
      <c r="AO29" s="18">
        <f t="shared" si="7"/>
        <v>9</v>
      </c>
      <c r="AP29" s="23">
        <f t="shared" si="1"/>
        <v>0.42857142857142855</v>
      </c>
    </row>
    <row r="30" spans="1:42" ht="14.25" hidden="1" customHeight="1" x14ac:dyDescent="0.25">
      <c r="A30" s="11" t="s">
        <v>61</v>
      </c>
      <c r="B30" s="7">
        <v>0.94</v>
      </c>
      <c r="C30" s="12" t="s">
        <v>49</v>
      </c>
      <c r="D30" s="16"/>
      <c r="E30" s="16"/>
      <c r="F30" s="13"/>
      <c r="G30" s="16"/>
      <c r="H30" s="16"/>
      <c r="I30" s="13"/>
      <c r="J30" s="16"/>
      <c r="K30" s="16"/>
      <c r="L30" s="32"/>
      <c r="M30" s="16"/>
      <c r="N30" s="16"/>
      <c r="O30" s="32"/>
      <c r="P30" s="16"/>
      <c r="Q30" s="16"/>
      <c r="R30" s="32"/>
      <c r="S30" s="28"/>
      <c r="T30" s="28"/>
      <c r="U30" s="13"/>
      <c r="V30" s="28"/>
      <c r="W30" s="28"/>
      <c r="X30" s="13"/>
      <c r="Y30" s="28"/>
      <c r="Z30" s="28"/>
      <c r="AA30" s="13"/>
      <c r="AB30" s="28"/>
      <c r="AC30" s="28"/>
      <c r="AD30" s="13"/>
      <c r="AE30" s="28"/>
      <c r="AF30" s="28"/>
      <c r="AG30" s="13"/>
      <c r="AH30" s="28"/>
      <c r="AI30" s="28"/>
      <c r="AJ30" s="13"/>
      <c r="AK30" s="28"/>
      <c r="AL30" s="28"/>
      <c r="AM30" s="13"/>
      <c r="AN30" s="18"/>
      <c r="AO30" s="18"/>
      <c r="AP30" s="23" t="str">
        <f t="shared" si="1"/>
        <v/>
      </c>
    </row>
    <row r="31" spans="1:42" ht="12" hidden="1" x14ac:dyDescent="0.25">
      <c r="A31" s="11" t="s">
        <v>61</v>
      </c>
      <c r="B31" s="7">
        <v>0.94</v>
      </c>
      <c r="C31" s="12" t="s">
        <v>50</v>
      </c>
      <c r="D31" s="16"/>
      <c r="E31" s="16"/>
      <c r="F31" s="13"/>
      <c r="G31" s="16"/>
      <c r="H31" s="16"/>
      <c r="I31" s="13"/>
      <c r="J31" s="16"/>
      <c r="K31" s="16"/>
      <c r="L31" s="32"/>
      <c r="M31" s="16"/>
      <c r="N31" s="16"/>
      <c r="O31" s="32"/>
      <c r="P31" s="16"/>
      <c r="Q31" s="16"/>
      <c r="R31" s="32"/>
      <c r="S31" s="28"/>
      <c r="T31" s="28"/>
      <c r="U31" s="13"/>
      <c r="V31" s="28"/>
      <c r="W31" s="28"/>
      <c r="X31" s="13"/>
      <c r="Y31" s="28"/>
      <c r="Z31" s="28"/>
      <c r="AA31" s="13"/>
      <c r="AB31" s="28"/>
      <c r="AC31" s="28"/>
      <c r="AD31" s="13"/>
      <c r="AE31" s="28"/>
      <c r="AF31" s="28"/>
      <c r="AG31" s="13"/>
      <c r="AH31" s="28"/>
      <c r="AI31" s="28"/>
      <c r="AJ31" s="13"/>
      <c r="AK31" s="28"/>
      <c r="AL31" s="28"/>
      <c r="AM31" s="13"/>
      <c r="AN31" s="18"/>
      <c r="AO31" s="18"/>
      <c r="AP31" s="23" t="str">
        <f t="shared" si="1"/>
        <v/>
      </c>
    </row>
    <row r="32" spans="1:42" ht="12" x14ac:dyDescent="0.25">
      <c r="A32" s="11" t="s">
        <v>61</v>
      </c>
      <c r="B32" s="7">
        <v>0.94</v>
      </c>
      <c r="C32" s="12" t="s">
        <v>51</v>
      </c>
      <c r="D32" s="16">
        <v>583</v>
      </c>
      <c r="E32" s="16">
        <v>582</v>
      </c>
      <c r="F32" s="13">
        <f t="shared" si="2"/>
        <v>0.99828473413379071</v>
      </c>
      <c r="G32" s="16">
        <v>435</v>
      </c>
      <c r="H32" s="16">
        <v>423</v>
      </c>
      <c r="I32" s="13">
        <f t="shared" si="3"/>
        <v>0.97241379310344822</v>
      </c>
      <c r="J32" s="16">
        <v>365</v>
      </c>
      <c r="K32" s="16">
        <v>343</v>
      </c>
      <c r="L32" s="32">
        <f t="shared" si="4"/>
        <v>0.9397260273972603</v>
      </c>
      <c r="M32" s="16">
        <v>44</v>
      </c>
      <c r="N32" s="16">
        <v>42</v>
      </c>
      <c r="O32" s="32">
        <f t="shared" si="5"/>
        <v>0.95454545454545459</v>
      </c>
      <c r="P32" s="16">
        <v>25</v>
      </c>
      <c r="Q32" s="16">
        <v>24</v>
      </c>
      <c r="R32" s="32">
        <f t="shared" si="6"/>
        <v>0.96</v>
      </c>
      <c r="S32" s="28">
        <v>34</v>
      </c>
      <c r="T32" s="28">
        <v>12</v>
      </c>
      <c r="U32" s="13">
        <f>T32/S32</f>
        <v>0.35294117647058826</v>
      </c>
      <c r="V32" s="28"/>
      <c r="W32" s="28"/>
      <c r="X32" s="13"/>
      <c r="Y32" s="28">
        <v>10</v>
      </c>
      <c r="Z32" s="28">
        <v>9</v>
      </c>
      <c r="AA32" s="13">
        <v>0.9</v>
      </c>
      <c r="AB32" s="28">
        <v>7</v>
      </c>
      <c r="AC32" s="28">
        <v>7</v>
      </c>
      <c r="AD32" s="13">
        <f>VLOOKUP(AC32,Planilha1!A:B,2,0)</f>
        <v>1</v>
      </c>
      <c r="AE32" s="28"/>
      <c r="AF32" s="28"/>
      <c r="AG32" s="13"/>
      <c r="AH32" s="28"/>
      <c r="AI32" s="28"/>
      <c r="AJ32" s="13"/>
      <c r="AK32" s="28"/>
      <c r="AL32" s="28"/>
      <c r="AM32" s="13"/>
      <c r="AN32" s="18">
        <f t="shared" si="8"/>
        <v>1503</v>
      </c>
      <c r="AO32" s="18">
        <f t="shared" si="7"/>
        <v>1442</v>
      </c>
      <c r="AP32" s="23">
        <f t="shared" si="1"/>
        <v>0.959414504324684</v>
      </c>
    </row>
    <row r="33" spans="1:42" ht="12" x14ac:dyDescent="0.25">
      <c r="A33" s="11" t="s">
        <v>61</v>
      </c>
      <c r="B33" s="7">
        <v>0.94</v>
      </c>
      <c r="C33" s="12" t="s">
        <v>52</v>
      </c>
      <c r="D33" s="16">
        <v>317</v>
      </c>
      <c r="E33" s="16">
        <v>289</v>
      </c>
      <c r="F33" s="13">
        <f t="shared" si="2"/>
        <v>0.91167192429022081</v>
      </c>
      <c r="G33" s="16">
        <v>227</v>
      </c>
      <c r="H33" s="16">
        <v>221</v>
      </c>
      <c r="I33" s="13">
        <f t="shared" si="3"/>
        <v>0.97356828193832601</v>
      </c>
      <c r="J33" s="16">
        <v>206</v>
      </c>
      <c r="K33" s="16">
        <v>198</v>
      </c>
      <c r="L33" s="32">
        <f t="shared" si="4"/>
        <v>0.96116504854368934</v>
      </c>
      <c r="M33" s="16">
        <v>221</v>
      </c>
      <c r="N33" s="16">
        <v>206</v>
      </c>
      <c r="O33" s="32">
        <f t="shared" si="5"/>
        <v>0.9321266968325792</v>
      </c>
      <c r="P33" s="16">
        <v>79</v>
      </c>
      <c r="Q33" s="16">
        <v>71</v>
      </c>
      <c r="R33" s="32">
        <f t="shared" si="6"/>
        <v>0.89873417721518989</v>
      </c>
      <c r="S33" s="28">
        <v>26</v>
      </c>
      <c r="T33" s="28">
        <v>22</v>
      </c>
      <c r="U33" s="13">
        <f>T33/S33</f>
        <v>0.84615384615384615</v>
      </c>
      <c r="V33" s="28"/>
      <c r="W33" s="28"/>
      <c r="X33" s="13"/>
      <c r="Y33" s="28">
        <v>0</v>
      </c>
      <c r="Z33" s="28">
        <v>0</v>
      </c>
      <c r="AA33" s="13">
        <v>1</v>
      </c>
      <c r="AB33" s="28">
        <v>1</v>
      </c>
      <c r="AC33" s="28">
        <v>1</v>
      </c>
      <c r="AD33" s="13">
        <f>VLOOKUP(AC33,Planilha1!A:B,2,0)</f>
        <v>1</v>
      </c>
      <c r="AE33" s="28"/>
      <c r="AF33" s="28"/>
      <c r="AG33" s="13"/>
      <c r="AH33" s="28"/>
      <c r="AI33" s="28"/>
      <c r="AJ33" s="13"/>
      <c r="AK33" s="28"/>
      <c r="AL33" s="28"/>
      <c r="AM33" s="13"/>
      <c r="AN33" s="18">
        <f t="shared" si="8"/>
        <v>1077</v>
      </c>
      <c r="AO33" s="18">
        <f t="shared" si="7"/>
        <v>1008</v>
      </c>
      <c r="AP33" s="23">
        <f t="shared" si="1"/>
        <v>0.93593314763231195</v>
      </c>
    </row>
    <row r="34" spans="1:42" ht="12" hidden="1" x14ac:dyDescent="0.25">
      <c r="A34" s="11" t="s">
        <v>61</v>
      </c>
      <c r="B34" s="7">
        <v>0.94</v>
      </c>
      <c r="C34" s="12" t="s">
        <v>53</v>
      </c>
      <c r="D34" s="16"/>
      <c r="E34" s="16"/>
      <c r="F34" s="13"/>
      <c r="G34" s="16"/>
      <c r="H34" s="16"/>
      <c r="I34" s="13"/>
      <c r="J34" s="16"/>
      <c r="K34" s="16"/>
      <c r="L34" s="32"/>
      <c r="M34" s="16"/>
      <c r="N34" s="16"/>
      <c r="O34" s="32"/>
      <c r="P34" s="16"/>
      <c r="Q34" s="16"/>
      <c r="R34" s="32"/>
      <c r="S34" s="28"/>
      <c r="T34" s="28"/>
      <c r="U34" s="13"/>
      <c r="V34" s="28"/>
      <c r="W34" s="28"/>
      <c r="X34" s="13"/>
      <c r="Y34" s="28"/>
      <c r="Z34" s="28"/>
      <c r="AA34" s="13"/>
      <c r="AB34" s="28"/>
      <c r="AC34" s="28"/>
      <c r="AD34" s="13"/>
      <c r="AE34" s="28"/>
      <c r="AF34" s="28"/>
      <c r="AG34" s="13"/>
      <c r="AH34" s="28"/>
      <c r="AI34" s="28"/>
      <c r="AJ34" s="13"/>
      <c r="AK34" s="28"/>
      <c r="AL34" s="28"/>
      <c r="AM34" s="13"/>
      <c r="AN34" s="18">
        <f t="shared" si="8"/>
        <v>0</v>
      </c>
      <c r="AO34" s="18">
        <f t="shared" si="7"/>
        <v>0</v>
      </c>
      <c r="AP34" s="23" t="str">
        <f t="shared" si="1"/>
        <v/>
      </c>
    </row>
    <row r="35" spans="1:42" ht="12" hidden="1" x14ac:dyDescent="0.25">
      <c r="A35" s="11" t="s">
        <v>61</v>
      </c>
      <c r="B35" s="7">
        <v>0.94</v>
      </c>
      <c r="C35" s="12" t="s">
        <v>54</v>
      </c>
      <c r="D35" s="16"/>
      <c r="E35" s="16"/>
      <c r="F35" s="13"/>
      <c r="G35" s="16"/>
      <c r="H35" s="16"/>
      <c r="I35" s="13"/>
      <c r="J35" s="16"/>
      <c r="K35" s="16"/>
      <c r="L35" s="32"/>
      <c r="M35" s="16"/>
      <c r="N35" s="16"/>
      <c r="O35" s="32"/>
      <c r="P35" s="16"/>
      <c r="Q35" s="16"/>
      <c r="R35" s="32"/>
      <c r="S35" s="28"/>
      <c r="T35" s="28"/>
      <c r="U35" s="13"/>
      <c r="V35" s="28"/>
      <c r="W35" s="28"/>
      <c r="X35" s="13"/>
      <c r="Y35" s="28"/>
      <c r="Z35" s="28"/>
      <c r="AA35" s="13"/>
      <c r="AB35" s="28"/>
      <c r="AC35" s="28"/>
      <c r="AD35" s="13"/>
      <c r="AE35" s="28"/>
      <c r="AF35" s="28"/>
      <c r="AG35" s="13"/>
      <c r="AH35" s="28"/>
      <c r="AI35" s="28"/>
      <c r="AJ35" s="13"/>
      <c r="AK35" s="28"/>
      <c r="AL35" s="28"/>
      <c r="AM35" s="13"/>
      <c r="AN35" s="18">
        <f t="shared" si="8"/>
        <v>0</v>
      </c>
      <c r="AO35" s="18">
        <f t="shared" si="7"/>
        <v>0</v>
      </c>
      <c r="AP35" s="23" t="str">
        <f t="shared" si="1"/>
        <v/>
      </c>
    </row>
    <row r="36" spans="1:42" ht="12" hidden="1" x14ac:dyDescent="0.25">
      <c r="A36" s="11" t="s">
        <v>61</v>
      </c>
      <c r="B36" s="7">
        <v>0.94</v>
      </c>
      <c r="C36" s="12" t="s">
        <v>59</v>
      </c>
      <c r="D36" s="16">
        <v>82</v>
      </c>
      <c r="E36" s="16">
        <v>64</v>
      </c>
      <c r="F36" s="13">
        <f t="shared" si="2"/>
        <v>0.78048780487804881</v>
      </c>
      <c r="G36" s="16">
        <v>36</v>
      </c>
      <c r="H36" s="16">
        <v>36</v>
      </c>
      <c r="I36" s="13">
        <f t="shared" si="3"/>
        <v>1</v>
      </c>
      <c r="J36" s="16">
        <v>22</v>
      </c>
      <c r="K36" s="16">
        <v>22</v>
      </c>
      <c r="L36" s="32">
        <f t="shared" si="4"/>
        <v>1</v>
      </c>
      <c r="M36" s="16">
        <v>37</v>
      </c>
      <c r="N36" s="16">
        <v>33</v>
      </c>
      <c r="O36" s="32">
        <f t="shared" si="5"/>
        <v>0.89189189189189189</v>
      </c>
      <c r="P36" s="16"/>
      <c r="Q36" s="16"/>
      <c r="R36" s="32"/>
      <c r="S36" s="28"/>
      <c r="T36" s="28"/>
      <c r="U36" s="13"/>
      <c r="V36" s="28"/>
      <c r="W36" s="28"/>
      <c r="X36" s="13"/>
      <c r="Y36" s="28"/>
      <c r="Z36" s="28"/>
      <c r="AA36" s="13"/>
      <c r="AB36" s="28"/>
      <c r="AC36" s="28"/>
      <c r="AD36" s="13"/>
      <c r="AE36" s="28"/>
      <c r="AF36" s="28"/>
      <c r="AG36" s="13"/>
      <c r="AH36" s="28"/>
      <c r="AI36" s="28"/>
      <c r="AJ36" s="13"/>
      <c r="AK36" s="28"/>
      <c r="AL36" s="28"/>
      <c r="AM36" s="13"/>
      <c r="AN36" s="18">
        <f t="shared" si="8"/>
        <v>177</v>
      </c>
      <c r="AO36" s="18">
        <f t="shared" si="7"/>
        <v>155</v>
      </c>
      <c r="AP36" s="23">
        <f t="shared" si="1"/>
        <v>0.87570621468926557</v>
      </c>
    </row>
    <row r="37" spans="1:42" ht="12" x14ac:dyDescent="0.25">
      <c r="A37" s="11" t="s">
        <v>61</v>
      </c>
      <c r="B37" s="7">
        <v>0.94</v>
      </c>
      <c r="C37" s="12" t="s">
        <v>62</v>
      </c>
      <c r="D37" s="16">
        <v>149</v>
      </c>
      <c r="E37" s="16">
        <v>107</v>
      </c>
      <c r="F37" s="13">
        <f t="shared" si="2"/>
        <v>0.71812080536912748</v>
      </c>
      <c r="G37" s="16">
        <v>121</v>
      </c>
      <c r="H37" s="16">
        <v>67</v>
      </c>
      <c r="I37" s="13">
        <f t="shared" si="3"/>
        <v>0.55371900826446285</v>
      </c>
      <c r="J37" s="16">
        <v>147</v>
      </c>
      <c r="K37" s="16">
        <v>53</v>
      </c>
      <c r="L37" s="32">
        <f t="shared" si="4"/>
        <v>0.36054421768707484</v>
      </c>
      <c r="M37" s="16">
        <v>259</v>
      </c>
      <c r="N37" s="16">
        <v>121</v>
      </c>
      <c r="O37" s="32">
        <f t="shared" si="5"/>
        <v>0.46718146718146719</v>
      </c>
      <c r="P37" s="16">
        <v>270</v>
      </c>
      <c r="Q37" s="16">
        <v>71</v>
      </c>
      <c r="R37" s="32">
        <f t="shared" si="6"/>
        <v>0.26296296296296295</v>
      </c>
      <c r="S37" s="28">
        <v>172</v>
      </c>
      <c r="T37" s="28">
        <v>12</v>
      </c>
      <c r="U37" s="13">
        <f>T37/S37</f>
        <v>6.9767441860465115E-2</v>
      </c>
      <c r="V37" s="28"/>
      <c r="W37" s="28"/>
      <c r="X37" s="13"/>
      <c r="Y37" s="28">
        <v>234</v>
      </c>
      <c r="Z37" s="28">
        <v>56</v>
      </c>
      <c r="AA37" s="13">
        <v>0.23931623931623933</v>
      </c>
      <c r="AB37" s="28">
        <v>177</v>
      </c>
      <c r="AC37" s="28">
        <v>89</v>
      </c>
      <c r="AD37" s="13">
        <f>VLOOKUP(AC37,Planilha1!A:B,2,0)</f>
        <v>0.50282485875706218</v>
      </c>
      <c r="AE37" s="28"/>
      <c r="AF37" s="28"/>
      <c r="AG37" s="13"/>
      <c r="AH37" s="28"/>
      <c r="AI37" s="28"/>
      <c r="AJ37" s="13"/>
      <c r="AK37" s="28"/>
      <c r="AL37" s="28"/>
      <c r="AM37" s="13"/>
      <c r="AN37" s="18">
        <f t="shared" si="8"/>
        <v>1529</v>
      </c>
      <c r="AO37" s="18">
        <f t="shared" si="7"/>
        <v>576</v>
      </c>
      <c r="AP37" s="23">
        <f t="shared" si="1"/>
        <v>0.37671680837148463</v>
      </c>
    </row>
    <row r="38" spans="1:42" ht="12" x14ac:dyDescent="0.25">
      <c r="A38" s="11" t="s">
        <v>61</v>
      </c>
      <c r="B38" s="7">
        <v>0.94</v>
      </c>
      <c r="C38" s="12" t="s">
        <v>63</v>
      </c>
      <c r="D38" s="16">
        <v>58</v>
      </c>
      <c r="E38" s="16">
        <v>29</v>
      </c>
      <c r="F38" s="13">
        <f t="shared" si="2"/>
        <v>0.5</v>
      </c>
      <c r="G38" s="16">
        <v>44</v>
      </c>
      <c r="H38" s="16">
        <v>33</v>
      </c>
      <c r="I38" s="13">
        <f t="shared" si="3"/>
        <v>0.75</v>
      </c>
      <c r="J38" s="16">
        <v>107</v>
      </c>
      <c r="K38" s="16">
        <v>51</v>
      </c>
      <c r="L38" s="32">
        <f t="shared" si="4"/>
        <v>0.47663551401869159</v>
      </c>
      <c r="M38" s="16">
        <v>127</v>
      </c>
      <c r="N38" s="16">
        <v>54</v>
      </c>
      <c r="O38" s="32">
        <f t="shared" si="5"/>
        <v>0.42519685039370081</v>
      </c>
      <c r="P38" s="16">
        <v>482</v>
      </c>
      <c r="Q38" s="16">
        <v>63</v>
      </c>
      <c r="R38" s="32">
        <f t="shared" si="6"/>
        <v>0.13070539419087138</v>
      </c>
      <c r="S38" s="28">
        <v>938</v>
      </c>
      <c r="T38" s="28">
        <v>93</v>
      </c>
      <c r="U38" s="13">
        <f>T38/S38</f>
        <v>9.9147121535181237E-2</v>
      </c>
      <c r="V38" s="28"/>
      <c r="W38" s="28"/>
      <c r="X38" s="13"/>
      <c r="Y38" s="28">
        <v>896</v>
      </c>
      <c r="Z38" s="28">
        <v>230</v>
      </c>
      <c r="AA38" s="13">
        <v>0.25669642857142855</v>
      </c>
      <c r="AB38" s="28">
        <v>802</v>
      </c>
      <c r="AC38" s="28">
        <v>367</v>
      </c>
      <c r="AD38" s="13">
        <f>VLOOKUP(AC38,Planilha1!A:B,2,0)</f>
        <v>0.45760598503740646</v>
      </c>
      <c r="AE38" s="28"/>
      <c r="AF38" s="28"/>
      <c r="AG38" s="13"/>
      <c r="AH38" s="28"/>
      <c r="AI38" s="28"/>
      <c r="AJ38" s="13"/>
      <c r="AK38" s="28"/>
      <c r="AL38" s="28"/>
      <c r="AM38" s="13"/>
      <c r="AN38" s="18">
        <f t="shared" si="8"/>
        <v>3454</v>
      </c>
      <c r="AO38" s="18">
        <f t="shared" si="7"/>
        <v>920</v>
      </c>
      <c r="AP38" s="23">
        <f t="shared" si="1"/>
        <v>0.26635784597568035</v>
      </c>
    </row>
    <row r="39" spans="1:42" ht="12" hidden="1" x14ac:dyDescent="0.25">
      <c r="A39" s="11" t="s">
        <v>61</v>
      </c>
      <c r="B39" s="7">
        <v>0.94</v>
      </c>
      <c r="C39" s="12" t="s">
        <v>64</v>
      </c>
      <c r="D39" s="16"/>
      <c r="E39" s="16"/>
      <c r="F39" s="13"/>
      <c r="G39" s="16"/>
      <c r="H39" s="16"/>
      <c r="I39" s="13"/>
      <c r="J39" s="16"/>
      <c r="K39" s="16"/>
      <c r="L39" s="32"/>
      <c r="M39" s="16"/>
      <c r="N39" s="16"/>
      <c r="O39" s="32"/>
      <c r="P39" s="16"/>
      <c r="Q39" s="16"/>
      <c r="R39" s="32"/>
      <c r="S39" s="28"/>
      <c r="T39" s="28"/>
      <c r="U39" s="13"/>
      <c r="V39" s="28"/>
      <c r="W39" s="28"/>
      <c r="X39" s="13"/>
      <c r="Y39" s="28"/>
      <c r="Z39" s="28"/>
      <c r="AA39" s="13"/>
      <c r="AB39" s="28"/>
      <c r="AC39" s="28"/>
      <c r="AD39" s="13"/>
      <c r="AE39" s="28"/>
      <c r="AF39" s="28"/>
      <c r="AG39" s="13"/>
      <c r="AH39" s="28"/>
      <c r="AI39" s="28"/>
      <c r="AJ39" s="13"/>
      <c r="AK39" s="28"/>
      <c r="AL39" s="28"/>
      <c r="AM39" s="13"/>
      <c r="AN39" s="18">
        <f t="shared" si="8"/>
        <v>0</v>
      </c>
      <c r="AO39" s="18">
        <f t="shared" si="7"/>
        <v>0</v>
      </c>
      <c r="AP39" s="23" t="str">
        <f t="shared" si="1"/>
        <v/>
      </c>
    </row>
    <row r="40" spans="1:42" ht="14.25" hidden="1" customHeight="1" x14ac:dyDescent="0.25">
      <c r="A40" s="14" t="s">
        <v>40</v>
      </c>
      <c r="B40" s="7">
        <v>0.94</v>
      </c>
      <c r="C40" s="15" t="s">
        <v>56</v>
      </c>
      <c r="D40" s="16"/>
      <c r="E40" s="16"/>
      <c r="F40" s="13"/>
      <c r="G40" s="16"/>
      <c r="H40" s="16"/>
      <c r="I40" s="13"/>
      <c r="J40" s="16"/>
      <c r="K40" s="16"/>
      <c r="L40" s="32"/>
      <c r="M40" s="16"/>
      <c r="N40" s="33"/>
      <c r="O40" s="32"/>
      <c r="P40" s="16"/>
      <c r="Q40" s="16"/>
      <c r="R40" s="32"/>
      <c r="S40" s="28"/>
      <c r="T40" s="28"/>
      <c r="U40" s="13"/>
      <c r="V40" s="28"/>
      <c r="W40" s="28"/>
      <c r="X40" s="13"/>
      <c r="Y40" s="28"/>
      <c r="Z40" s="28"/>
      <c r="AA40" s="13"/>
      <c r="AB40" s="28"/>
      <c r="AC40" s="28"/>
      <c r="AD40" s="13"/>
      <c r="AE40" s="28"/>
      <c r="AF40" s="28"/>
      <c r="AG40" s="13"/>
      <c r="AH40" s="28"/>
      <c r="AI40" s="28"/>
      <c r="AJ40" s="13"/>
      <c r="AK40" s="28"/>
      <c r="AL40" s="28"/>
      <c r="AM40" s="13"/>
      <c r="AN40" s="18"/>
      <c r="AO40" s="18"/>
      <c r="AP40" s="23" t="str">
        <f t="shared" si="1"/>
        <v/>
      </c>
    </row>
    <row r="41" spans="1:42" ht="14.25" hidden="1" customHeight="1" x14ac:dyDescent="0.25">
      <c r="A41" s="14" t="s">
        <v>40</v>
      </c>
      <c r="B41" s="7">
        <v>0.94</v>
      </c>
      <c r="C41" s="15" t="s">
        <v>57</v>
      </c>
      <c r="D41" s="16"/>
      <c r="E41" s="16"/>
      <c r="F41" s="13"/>
      <c r="G41" s="16"/>
      <c r="H41" s="16"/>
      <c r="I41" s="13"/>
      <c r="J41" s="16"/>
      <c r="K41" s="16"/>
      <c r="L41" s="32"/>
      <c r="M41" s="33"/>
      <c r="N41" s="33"/>
      <c r="O41" s="32"/>
      <c r="P41" s="16"/>
      <c r="Q41" s="16"/>
      <c r="R41" s="32"/>
      <c r="S41" s="28"/>
      <c r="T41" s="28"/>
      <c r="U41" s="13"/>
      <c r="V41" s="28"/>
      <c r="W41" s="28"/>
      <c r="X41" s="13"/>
      <c r="Y41" s="28"/>
      <c r="Z41" s="28"/>
      <c r="AA41" s="13"/>
      <c r="AB41" s="28"/>
      <c r="AC41" s="28"/>
      <c r="AD41" s="13"/>
      <c r="AE41" s="28"/>
      <c r="AF41" s="28"/>
      <c r="AG41" s="13"/>
      <c r="AH41" s="28"/>
      <c r="AI41" s="28"/>
      <c r="AJ41" s="13"/>
      <c r="AK41" s="28"/>
      <c r="AL41" s="28"/>
      <c r="AM41" s="13"/>
      <c r="AN41" s="18"/>
      <c r="AO41" s="18"/>
      <c r="AP41" s="23" t="str">
        <f t="shared" si="1"/>
        <v/>
      </c>
    </row>
    <row r="42" spans="1:42" ht="14.25" customHeight="1" x14ac:dyDescent="0.25">
      <c r="A42" s="14" t="s">
        <v>40</v>
      </c>
      <c r="B42" s="7">
        <v>0.94</v>
      </c>
      <c r="C42" s="15" t="s">
        <v>58</v>
      </c>
      <c r="D42" s="16">
        <v>303</v>
      </c>
      <c r="E42" s="16">
        <v>115</v>
      </c>
      <c r="F42" s="13">
        <f t="shared" si="2"/>
        <v>0.37953795379537952</v>
      </c>
      <c r="G42" s="16">
        <v>270</v>
      </c>
      <c r="H42" s="16">
        <v>223</v>
      </c>
      <c r="I42" s="13">
        <v>0.82589999999999997</v>
      </c>
      <c r="J42" s="16">
        <v>292</v>
      </c>
      <c r="K42" s="16">
        <v>246</v>
      </c>
      <c r="L42" s="32">
        <f>K42/J42</f>
        <v>0.84246575342465757</v>
      </c>
      <c r="M42" s="33">
        <v>215</v>
      </c>
      <c r="N42" s="33">
        <v>142</v>
      </c>
      <c r="O42" s="32">
        <f>N42/M42</f>
        <v>0.66046511627906979</v>
      </c>
      <c r="P42" s="16">
        <v>366</v>
      </c>
      <c r="Q42" s="16">
        <v>356</v>
      </c>
      <c r="R42" s="32">
        <f>Q42/P42</f>
        <v>0.97267759562841527</v>
      </c>
      <c r="S42" s="28">
        <v>250</v>
      </c>
      <c r="T42" s="28">
        <v>125</v>
      </c>
      <c r="U42" s="13">
        <f>T42/S42</f>
        <v>0.5</v>
      </c>
      <c r="V42" s="28">
        <v>167</v>
      </c>
      <c r="W42" s="28">
        <v>156</v>
      </c>
      <c r="X42" s="13">
        <v>0.93410000000000004</v>
      </c>
      <c r="Y42" s="28">
        <v>149</v>
      </c>
      <c r="Z42" s="28">
        <v>143</v>
      </c>
      <c r="AA42" s="13">
        <v>0.9597</v>
      </c>
      <c r="AB42" s="28">
        <v>134</v>
      </c>
      <c r="AC42" s="28">
        <v>20</v>
      </c>
      <c r="AD42" s="13">
        <f>VLOOKUP(AC42,Planilha1!A:B,2,0)</f>
        <v>0.14925373134328357</v>
      </c>
      <c r="AE42" s="28"/>
      <c r="AF42" s="28"/>
      <c r="AG42" s="13"/>
      <c r="AH42" s="28"/>
      <c r="AI42" s="28"/>
      <c r="AJ42" s="13"/>
      <c r="AK42" s="28"/>
      <c r="AL42" s="28"/>
      <c r="AM42" s="13"/>
      <c r="AN42" s="18"/>
      <c r="AO42" s="18"/>
      <c r="AP42" s="23" t="str">
        <f t="shared" si="1"/>
        <v/>
      </c>
    </row>
    <row r="43" spans="1:42" ht="14.25" customHeight="1" x14ac:dyDescent="0.25">
      <c r="A43" s="14" t="s">
        <v>40</v>
      </c>
      <c r="B43" s="7">
        <v>0.94</v>
      </c>
      <c r="C43" s="15" t="s">
        <v>43</v>
      </c>
      <c r="D43" s="16">
        <v>25</v>
      </c>
      <c r="E43" s="16">
        <v>23</v>
      </c>
      <c r="F43" s="13">
        <f t="shared" si="2"/>
        <v>0.92</v>
      </c>
      <c r="G43" s="16">
        <v>6</v>
      </c>
      <c r="H43" s="16">
        <v>5</v>
      </c>
      <c r="I43" s="13">
        <f t="shared" si="3"/>
        <v>0.83333333333333337</v>
      </c>
      <c r="J43" s="16">
        <v>26</v>
      </c>
      <c r="K43" s="16">
        <v>17</v>
      </c>
      <c r="L43" s="32">
        <f t="shared" si="4"/>
        <v>0.65384615384615385</v>
      </c>
      <c r="M43" s="33">
        <v>25</v>
      </c>
      <c r="N43" s="33">
        <v>16</v>
      </c>
      <c r="O43" s="32">
        <f t="shared" si="5"/>
        <v>0.64</v>
      </c>
      <c r="P43" s="16">
        <v>21</v>
      </c>
      <c r="Q43" s="16">
        <v>6</v>
      </c>
      <c r="R43" s="32">
        <f t="shared" si="6"/>
        <v>0.2857142857142857</v>
      </c>
      <c r="S43" s="28">
        <v>11</v>
      </c>
      <c r="T43" s="28">
        <v>10</v>
      </c>
      <c r="U43" s="13">
        <f>T43/S43</f>
        <v>0.90909090909090906</v>
      </c>
      <c r="V43" s="28">
        <v>32</v>
      </c>
      <c r="W43" s="28">
        <v>22</v>
      </c>
      <c r="X43" s="13">
        <v>0.69</v>
      </c>
      <c r="Y43" s="28">
        <v>2</v>
      </c>
      <c r="Z43" s="28">
        <v>0</v>
      </c>
      <c r="AA43" s="13">
        <v>0</v>
      </c>
      <c r="AB43" s="28">
        <v>23</v>
      </c>
      <c r="AC43" s="28">
        <v>15</v>
      </c>
      <c r="AD43" s="13">
        <f>VLOOKUP(AC43,Planilha1!A:B,2,0)</f>
        <v>0.65217391304347827</v>
      </c>
      <c r="AE43" s="28"/>
      <c r="AF43" s="28"/>
      <c r="AG43" s="13"/>
      <c r="AH43" s="28"/>
      <c r="AI43" s="28"/>
      <c r="AJ43" s="13"/>
      <c r="AK43" s="28"/>
      <c r="AL43" s="28"/>
      <c r="AM43" s="13"/>
      <c r="AN43" s="18">
        <f t="shared" si="8"/>
        <v>171</v>
      </c>
      <c r="AO43" s="18">
        <f t="shared" si="7"/>
        <v>114</v>
      </c>
      <c r="AP43" s="23">
        <f t="shared" si="1"/>
        <v>0.66666666666666663</v>
      </c>
    </row>
    <row r="44" spans="1:42" ht="14.25" customHeight="1" x14ac:dyDescent="0.25">
      <c r="A44" s="14" t="s">
        <v>40</v>
      </c>
      <c r="B44" s="7">
        <v>0.94</v>
      </c>
      <c r="C44" s="15" t="s">
        <v>44</v>
      </c>
      <c r="D44" s="16">
        <v>263</v>
      </c>
      <c r="E44" s="16">
        <v>253</v>
      </c>
      <c r="F44" s="13">
        <f t="shared" si="2"/>
        <v>0.96197718631178708</v>
      </c>
      <c r="G44" s="16">
        <v>163</v>
      </c>
      <c r="H44" s="16">
        <v>142</v>
      </c>
      <c r="I44" s="13">
        <f t="shared" si="3"/>
        <v>0.87116564417177911</v>
      </c>
      <c r="J44" s="16">
        <v>104</v>
      </c>
      <c r="K44" s="16">
        <v>89</v>
      </c>
      <c r="L44" s="32">
        <f t="shared" si="4"/>
        <v>0.85576923076923073</v>
      </c>
      <c r="M44" s="33">
        <v>141</v>
      </c>
      <c r="N44" s="33">
        <v>87</v>
      </c>
      <c r="O44" s="32">
        <f t="shared" si="5"/>
        <v>0.61702127659574468</v>
      </c>
      <c r="P44" s="16">
        <v>340</v>
      </c>
      <c r="Q44" s="16">
        <v>324</v>
      </c>
      <c r="R44" s="32">
        <f t="shared" si="6"/>
        <v>0.95294117647058818</v>
      </c>
      <c r="S44" s="28">
        <v>209</v>
      </c>
      <c r="T44" s="28">
        <v>202</v>
      </c>
      <c r="U44" s="13">
        <f>T44/S44</f>
        <v>0.96650717703349287</v>
      </c>
      <c r="V44" s="28">
        <v>289</v>
      </c>
      <c r="W44" s="28">
        <v>283</v>
      </c>
      <c r="X44" s="13">
        <v>0.98</v>
      </c>
      <c r="Y44" s="28">
        <v>203</v>
      </c>
      <c r="Z44" s="28">
        <v>201</v>
      </c>
      <c r="AA44" s="13">
        <v>0.99009999999999998</v>
      </c>
      <c r="AB44" s="28">
        <v>296</v>
      </c>
      <c r="AC44" s="28">
        <v>291</v>
      </c>
      <c r="AD44" s="13">
        <f>VLOOKUP(AC44,Planilha1!A:B,2,0)</f>
        <v>0.98310810810810811</v>
      </c>
      <c r="AE44" s="28"/>
      <c r="AF44" s="28"/>
      <c r="AG44" s="13"/>
      <c r="AH44" s="28"/>
      <c r="AI44" s="28"/>
      <c r="AJ44" s="13"/>
      <c r="AK44" s="28"/>
      <c r="AL44" s="28"/>
      <c r="AM44" s="13"/>
      <c r="AN44" s="18">
        <f t="shared" si="8"/>
        <v>2008</v>
      </c>
      <c r="AO44" s="18">
        <f t="shared" si="7"/>
        <v>1872</v>
      </c>
      <c r="AP44" s="23">
        <f t="shared" si="1"/>
        <v>0.9322709163346613</v>
      </c>
    </row>
    <row r="45" spans="1:42" ht="14.25" hidden="1" customHeight="1" x14ac:dyDescent="0.25">
      <c r="A45" s="14" t="s">
        <v>40</v>
      </c>
      <c r="B45" s="7">
        <v>0.94</v>
      </c>
      <c r="C45" s="15" t="s">
        <v>45</v>
      </c>
      <c r="D45" s="16"/>
      <c r="E45" s="16"/>
      <c r="F45" s="13"/>
      <c r="G45" s="16"/>
      <c r="H45" s="16"/>
      <c r="I45" s="13"/>
      <c r="J45" s="16"/>
      <c r="K45" s="16"/>
      <c r="L45" s="32"/>
      <c r="M45" s="33"/>
      <c r="N45" s="33"/>
      <c r="O45" s="32"/>
      <c r="P45" s="16"/>
      <c r="Q45" s="16"/>
      <c r="R45" s="32"/>
      <c r="S45" s="28"/>
      <c r="T45" s="28"/>
      <c r="U45" s="13"/>
      <c r="V45" s="28"/>
      <c r="W45" s="28"/>
      <c r="X45" s="13"/>
      <c r="Y45" s="28"/>
      <c r="Z45" s="28"/>
      <c r="AA45" s="13"/>
      <c r="AB45" s="28"/>
      <c r="AC45" s="28"/>
      <c r="AD45" s="13"/>
      <c r="AE45" s="28"/>
      <c r="AF45" s="28"/>
      <c r="AG45" s="13"/>
      <c r="AH45" s="28"/>
      <c r="AI45" s="28"/>
      <c r="AJ45" s="13"/>
      <c r="AK45" s="28"/>
      <c r="AL45" s="28"/>
      <c r="AM45" s="13"/>
      <c r="AN45" s="18"/>
      <c r="AO45" s="18"/>
      <c r="AP45" s="23" t="str">
        <f t="shared" si="1"/>
        <v/>
      </c>
    </row>
    <row r="46" spans="1:42" ht="14.25" customHeight="1" x14ac:dyDescent="0.25">
      <c r="A46" s="14" t="s">
        <v>40</v>
      </c>
      <c r="B46" s="7">
        <v>0.94</v>
      </c>
      <c r="C46" s="15" t="s">
        <v>46</v>
      </c>
      <c r="D46" s="16">
        <v>402</v>
      </c>
      <c r="E46" s="16">
        <v>165</v>
      </c>
      <c r="F46" s="13">
        <f t="shared" si="2"/>
        <v>0.41044776119402987</v>
      </c>
      <c r="G46" s="16">
        <v>631</v>
      </c>
      <c r="H46" s="16">
        <v>267</v>
      </c>
      <c r="I46" s="13">
        <f t="shared" si="3"/>
        <v>0.42313787638668782</v>
      </c>
      <c r="J46" s="16">
        <v>308</v>
      </c>
      <c r="K46" s="16">
        <v>82</v>
      </c>
      <c r="L46" s="32">
        <f t="shared" si="4"/>
        <v>0.26623376623376621</v>
      </c>
      <c r="M46" s="33">
        <v>388</v>
      </c>
      <c r="N46" s="33">
        <v>141</v>
      </c>
      <c r="O46" s="32">
        <f t="shared" si="5"/>
        <v>0.36340206185567009</v>
      </c>
      <c r="P46" s="16">
        <v>621</v>
      </c>
      <c r="Q46" s="16">
        <v>295</v>
      </c>
      <c r="R46" s="32">
        <f t="shared" si="6"/>
        <v>0.4750402576489533</v>
      </c>
      <c r="S46" s="28">
        <v>566</v>
      </c>
      <c r="T46" s="28">
        <v>462</v>
      </c>
      <c r="U46" s="13">
        <f>T46/S46</f>
        <v>0.81625441696113077</v>
      </c>
      <c r="V46" s="28">
        <v>457</v>
      </c>
      <c r="W46" s="28">
        <v>380</v>
      </c>
      <c r="X46" s="13">
        <v>0.83</v>
      </c>
      <c r="Y46" s="28">
        <v>563</v>
      </c>
      <c r="Z46" s="28">
        <v>461</v>
      </c>
      <c r="AA46" s="13">
        <v>0.81882770870337473</v>
      </c>
      <c r="AB46" s="28">
        <v>459</v>
      </c>
      <c r="AC46" s="28">
        <v>380</v>
      </c>
      <c r="AD46" s="13">
        <f>VLOOKUP(AC46,Planilha1!A:B,2,0)</f>
        <v>0.82788671023965144</v>
      </c>
      <c r="AE46" s="28"/>
      <c r="AF46" s="28"/>
      <c r="AG46" s="13"/>
      <c r="AH46" s="28"/>
      <c r="AI46" s="28"/>
      <c r="AJ46" s="13"/>
      <c r="AK46" s="28"/>
      <c r="AL46" s="28"/>
      <c r="AM46" s="13"/>
      <c r="AN46" s="18">
        <f t="shared" si="8"/>
        <v>4395</v>
      </c>
      <c r="AO46" s="18">
        <f t="shared" si="7"/>
        <v>2633</v>
      </c>
      <c r="AP46" s="23">
        <f t="shared" si="1"/>
        <v>0.59908987485779297</v>
      </c>
    </row>
    <row r="47" spans="1:42" ht="14.25" customHeight="1" x14ac:dyDescent="0.25">
      <c r="A47" s="14" t="s">
        <v>40</v>
      </c>
      <c r="B47" s="7">
        <v>0.94</v>
      </c>
      <c r="C47" s="15" t="s">
        <v>47</v>
      </c>
      <c r="D47" s="16">
        <v>210</v>
      </c>
      <c r="E47" s="16">
        <v>182.7</v>
      </c>
      <c r="F47" s="13">
        <f>E47/D47</f>
        <v>0.87</v>
      </c>
      <c r="G47" s="16">
        <v>234</v>
      </c>
      <c r="H47" s="16">
        <v>227</v>
      </c>
      <c r="I47" s="13">
        <f>H47/G47</f>
        <v>0.97008547008547008</v>
      </c>
      <c r="J47" s="16">
        <v>146</v>
      </c>
      <c r="K47" s="16">
        <v>139</v>
      </c>
      <c r="L47" s="32">
        <f>K47/J47</f>
        <v>0.95205479452054798</v>
      </c>
      <c r="M47" s="33">
        <v>205</v>
      </c>
      <c r="N47" s="33">
        <v>173</v>
      </c>
      <c r="O47" s="32">
        <v>0.84</v>
      </c>
      <c r="P47" s="16">
        <v>207</v>
      </c>
      <c r="Q47" s="16">
        <v>202</v>
      </c>
      <c r="R47" s="32">
        <f t="shared" si="6"/>
        <v>0.97584541062801933</v>
      </c>
      <c r="S47" s="28">
        <v>351</v>
      </c>
      <c r="T47" s="28">
        <v>298</v>
      </c>
      <c r="U47" s="13">
        <f>T47/S47</f>
        <v>0.84900284900284906</v>
      </c>
      <c r="V47" s="28">
        <v>279</v>
      </c>
      <c r="W47" s="28">
        <v>268</v>
      </c>
      <c r="X47" s="13">
        <v>0.96</v>
      </c>
      <c r="Y47" s="28">
        <v>170</v>
      </c>
      <c r="Z47" s="28">
        <v>167</v>
      </c>
      <c r="AA47" s="13">
        <v>0.98899999999999999</v>
      </c>
      <c r="AB47" s="28">
        <v>190</v>
      </c>
      <c r="AC47" s="28">
        <v>190</v>
      </c>
      <c r="AD47" s="13">
        <f>VLOOKUP(AC47,Planilha1!A:B,2,0)</f>
        <v>1</v>
      </c>
      <c r="AE47" s="28"/>
      <c r="AF47" s="28"/>
      <c r="AG47" s="13"/>
      <c r="AH47" s="28"/>
      <c r="AI47" s="28"/>
      <c r="AJ47" s="13"/>
      <c r="AK47" s="28"/>
      <c r="AL47" s="28"/>
      <c r="AM47" s="13"/>
      <c r="AN47" s="18">
        <f t="shared" si="8"/>
        <v>1992</v>
      </c>
      <c r="AO47" s="18">
        <f>E47+H47+K47+N47+Q47+T47+W47+Z47+AC47+AF47+AI47+AL47</f>
        <v>1846.7</v>
      </c>
      <c r="AP47" s="23">
        <f>IFERROR((AO47/AN47),"")</f>
        <v>0.92705823293172696</v>
      </c>
    </row>
    <row r="48" spans="1:42" ht="14.25" customHeight="1" x14ac:dyDescent="0.25">
      <c r="A48" s="14" t="s">
        <v>40</v>
      </c>
      <c r="B48" s="7">
        <v>0.94</v>
      </c>
      <c r="C48" s="15" t="s">
        <v>51</v>
      </c>
      <c r="D48" s="16">
        <v>583</v>
      </c>
      <c r="E48" s="16">
        <v>563</v>
      </c>
      <c r="F48" s="13">
        <f t="shared" si="2"/>
        <v>0.96569468267581471</v>
      </c>
      <c r="G48" s="16">
        <v>435</v>
      </c>
      <c r="H48" s="16">
        <v>406</v>
      </c>
      <c r="I48" s="13">
        <f t="shared" si="3"/>
        <v>0.93333333333333335</v>
      </c>
      <c r="J48" s="16">
        <v>365</v>
      </c>
      <c r="K48" s="16">
        <v>225</v>
      </c>
      <c r="L48" s="32">
        <f t="shared" si="4"/>
        <v>0.61643835616438358</v>
      </c>
      <c r="M48" s="33">
        <v>36</v>
      </c>
      <c r="N48" s="33">
        <v>23</v>
      </c>
      <c r="O48" s="32">
        <f t="shared" si="5"/>
        <v>0.63888888888888884</v>
      </c>
      <c r="P48" s="16">
        <v>25</v>
      </c>
      <c r="Q48" s="16">
        <v>21</v>
      </c>
      <c r="R48" s="32">
        <f t="shared" si="6"/>
        <v>0.84</v>
      </c>
      <c r="S48" s="28">
        <v>34</v>
      </c>
      <c r="T48" s="28">
        <v>12</v>
      </c>
      <c r="U48" s="13">
        <f>T48/S48</f>
        <v>0.35294117647058826</v>
      </c>
      <c r="V48" s="28"/>
      <c r="W48" s="28"/>
      <c r="X48" s="13"/>
      <c r="Y48" s="28">
        <v>10</v>
      </c>
      <c r="Z48" s="28">
        <v>9</v>
      </c>
      <c r="AA48" s="13">
        <v>0.9</v>
      </c>
      <c r="AB48" s="28">
        <v>7</v>
      </c>
      <c r="AC48" s="28">
        <v>7</v>
      </c>
      <c r="AD48" s="13">
        <f>VLOOKUP(AC48,Planilha1!A:B,2,0)</f>
        <v>1</v>
      </c>
      <c r="AE48" s="28"/>
      <c r="AF48" s="28"/>
      <c r="AG48" s="13"/>
      <c r="AH48" s="28"/>
      <c r="AI48" s="28"/>
      <c r="AJ48" s="13"/>
      <c r="AK48" s="28"/>
      <c r="AL48" s="28"/>
      <c r="AM48" s="13"/>
      <c r="AN48" s="18">
        <f t="shared" si="8"/>
        <v>1495</v>
      </c>
      <c r="AO48" s="18">
        <f t="shared" si="7"/>
        <v>1266</v>
      </c>
      <c r="AP48" s="23">
        <f t="shared" si="1"/>
        <v>0.8468227424749164</v>
      </c>
    </row>
    <row r="49" spans="1:42" ht="14.25" customHeight="1" x14ac:dyDescent="0.25">
      <c r="A49" s="14" t="s">
        <v>40</v>
      </c>
      <c r="B49" s="7">
        <v>0.94</v>
      </c>
      <c r="C49" s="15" t="s">
        <v>52</v>
      </c>
      <c r="D49" s="16">
        <v>317</v>
      </c>
      <c r="E49" s="16">
        <v>230</v>
      </c>
      <c r="F49" s="13">
        <f t="shared" si="2"/>
        <v>0.72555205047318616</v>
      </c>
      <c r="G49" s="16">
        <v>227</v>
      </c>
      <c r="H49" s="16">
        <v>207</v>
      </c>
      <c r="I49" s="13">
        <f t="shared" si="3"/>
        <v>0.91189427312775329</v>
      </c>
      <c r="J49" s="16">
        <v>206</v>
      </c>
      <c r="K49" s="16">
        <v>157</v>
      </c>
      <c r="L49" s="32">
        <f t="shared" si="4"/>
        <v>0.76213592233009708</v>
      </c>
      <c r="M49" s="33">
        <v>125</v>
      </c>
      <c r="N49" s="33">
        <v>60</v>
      </c>
      <c r="O49" s="32">
        <f t="shared" si="5"/>
        <v>0.48</v>
      </c>
      <c r="P49" s="16">
        <v>79</v>
      </c>
      <c r="Q49" s="16">
        <v>29</v>
      </c>
      <c r="R49" s="32">
        <f t="shared" si="6"/>
        <v>0.36708860759493672</v>
      </c>
      <c r="S49" s="28">
        <v>26</v>
      </c>
      <c r="T49" s="28">
        <v>20</v>
      </c>
      <c r="U49" s="13">
        <f>T49/S49</f>
        <v>0.76923076923076927</v>
      </c>
      <c r="V49" s="28"/>
      <c r="W49" s="28"/>
      <c r="X49" s="13"/>
      <c r="Y49" s="28">
        <v>0</v>
      </c>
      <c r="Z49" s="28">
        <v>0</v>
      </c>
      <c r="AA49" s="13">
        <v>1</v>
      </c>
      <c r="AB49" s="28">
        <v>1</v>
      </c>
      <c r="AC49" s="28">
        <v>0</v>
      </c>
      <c r="AD49" s="13">
        <f>VLOOKUP(AC49,Planilha1!A:B,2,0)</f>
        <v>0</v>
      </c>
      <c r="AE49" s="28"/>
      <c r="AF49" s="28"/>
      <c r="AG49" s="13"/>
      <c r="AH49" s="28"/>
      <c r="AI49" s="28"/>
      <c r="AJ49" s="13"/>
      <c r="AK49" s="28"/>
      <c r="AL49" s="28"/>
      <c r="AM49" s="13"/>
      <c r="AN49" s="18">
        <f t="shared" si="8"/>
        <v>981</v>
      </c>
      <c r="AO49" s="18">
        <f t="shared" si="7"/>
        <v>703</v>
      </c>
      <c r="AP49" s="23">
        <f t="shared" si="1"/>
        <v>0.71661569826707439</v>
      </c>
    </row>
    <row r="50" spans="1:42" ht="14.25" hidden="1" customHeight="1" x14ac:dyDescent="0.25">
      <c r="A50" s="14" t="s">
        <v>40</v>
      </c>
      <c r="B50" s="7">
        <v>0.94</v>
      </c>
      <c r="C50" s="15" t="s">
        <v>53</v>
      </c>
      <c r="D50" s="16"/>
      <c r="E50" s="16"/>
      <c r="F50" s="13"/>
      <c r="G50" s="16"/>
      <c r="H50" s="16"/>
      <c r="I50" s="13"/>
      <c r="J50" s="16"/>
      <c r="K50" s="16"/>
      <c r="L50" s="32"/>
      <c r="M50" s="33"/>
      <c r="N50" s="33"/>
      <c r="O50" s="32"/>
      <c r="P50" s="16"/>
      <c r="Q50" s="16"/>
      <c r="R50" s="32"/>
      <c r="S50" s="28"/>
      <c r="T50" s="28"/>
      <c r="U50" s="13"/>
      <c r="V50" s="28"/>
      <c r="W50" s="28"/>
      <c r="X50" s="13"/>
      <c r="Y50" s="28"/>
      <c r="Z50" s="28"/>
      <c r="AA50" s="13"/>
      <c r="AB50" s="28"/>
      <c r="AC50" s="28"/>
      <c r="AD50" s="13"/>
      <c r="AE50" s="28"/>
      <c r="AF50" s="28"/>
      <c r="AG50" s="13"/>
      <c r="AH50" s="28"/>
      <c r="AI50" s="28"/>
      <c r="AJ50" s="13"/>
      <c r="AK50" s="28"/>
      <c r="AL50" s="28"/>
      <c r="AM50" s="13"/>
      <c r="AN50" s="18">
        <f t="shared" si="8"/>
        <v>0</v>
      </c>
      <c r="AO50" s="18">
        <f t="shared" si="7"/>
        <v>0</v>
      </c>
      <c r="AP50" s="23" t="str">
        <f t="shared" si="1"/>
        <v/>
      </c>
    </row>
    <row r="51" spans="1:42" ht="14.25" hidden="1" customHeight="1" x14ac:dyDescent="0.25">
      <c r="A51" s="14" t="s">
        <v>40</v>
      </c>
      <c r="B51" s="7">
        <v>0.94</v>
      </c>
      <c r="C51" s="15" t="s">
        <v>54</v>
      </c>
      <c r="D51" s="16"/>
      <c r="E51" s="16"/>
      <c r="F51" s="13"/>
      <c r="G51" s="16"/>
      <c r="H51" s="16"/>
      <c r="I51" s="13"/>
      <c r="J51" s="16"/>
      <c r="K51" s="16"/>
      <c r="L51" s="32"/>
      <c r="M51" s="33"/>
      <c r="N51" s="33"/>
      <c r="O51" s="32"/>
      <c r="P51" s="16"/>
      <c r="Q51" s="16"/>
      <c r="R51" s="32"/>
      <c r="S51" s="28"/>
      <c r="T51" s="28"/>
      <c r="U51" s="13"/>
      <c r="V51" s="28"/>
      <c r="W51" s="28"/>
      <c r="X51" s="13"/>
      <c r="Y51" s="28"/>
      <c r="Z51" s="28"/>
      <c r="AA51" s="13"/>
      <c r="AB51" s="28"/>
      <c r="AC51" s="28"/>
      <c r="AD51" s="13"/>
      <c r="AE51" s="28"/>
      <c r="AF51" s="28"/>
      <c r="AG51" s="13"/>
      <c r="AH51" s="28"/>
      <c r="AI51" s="28"/>
      <c r="AJ51" s="13"/>
      <c r="AK51" s="28"/>
      <c r="AL51" s="28"/>
      <c r="AM51" s="13"/>
      <c r="AN51" s="18"/>
      <c r="AO51" s="18"/>
      <c r="AP51" s="23" t="str">
        <f t="shared" si="1"/>
        <v/>
      </c>
    </row>
    <row r="52" spans="1:42" ht="14.25" customHeight="1" x14ac:dyDescent="0.25">
      <c r="A52" s="14" t="s">
        <v>40</v>
      </c>
      <c r="B52" s="7">
        <v>0.94</v>
      </c>
      <c r="C52" s="15" t="s">
        <v>62</v>
      </c>
      <c r="D52" s="18">
        <v>149</v>
      </c>
      <c r="E52" s="18">
        <v>114</v>
      </c>
      <c r="F52" s="13">
        <f t="shared" si="2"/>
        <v>0.7651006711409396</v>
      </c>
      <c r="G52" s="10">
        <v>121</v>
      </c>
      <c r="H52" s="10">
        <v>17</v>
      </c>
      <c r="I52" s="13">
        <f t="shared" si="3"/>
        <v>0.14049586776859505</v>
      </c>
      <c r="J52" s="10">
        <v>147</v>
      </c>
      <c r="K52" s="10">
        <v>47</v>
      </c>
      <c r="L52" s="32">
        <f t="shared" si="4"/>
        <v>0.31972789115646261</v>
      </c>
      <c r="M52" s="33">
        <v>162</v>
      </c>
      <c r="N52" s="33">
        <v>53</v>
      </c>
      <c r="O52" s="32">
        <f t="shared" si="5"/>
        <v>0.3271604938271605</v>
      </c>
      <c r="P52" s="10">
        <v>270</v>
      </c>
      <c r="Q52" s="10">
        <v>96</v>
      </c>
      <c r="R52" s="32">
        <f t="shared" si="6"/>
        <v>0.35555555555555557</v>
      </c>
      <c r="S52" s="28">
        <v>171</v>
      </c>
      <c r="T52" s="28">
        <v>21</v>
      </c>
      <c r="U52" s="13">
        <f>T52/S52</f>
        <v>0.12280701754385964</v>
      </c>
      <c r="V52" s="29"/>
      <c r="W52" s="29"/>
      <c r="X52" s="13"/>
      <c r="Y52" s="29">
        <v>234</v>
      </c>
      <c r="Z52" s="29">
        <v>99</v>
      </c>
      <c r="AA52" s="13">
        <v>0.42307692307692307</v>
      </c>
      <c r="AB52" s="29">
        <v>177</v>
      </c>
      <c r="AC52" s="29">
        <v>114</v>
      </c>
      <c r="AD52" s="13">
        <f>VLOOKUP(AC52,Planilha1!A:B,2,0)</f>
        <v>0.64406779661016944</v>
      </c>
      <c r="AG52" s="13"/>
      <c r="AJ52" s="13"/>
      <c r="AM52" s="13"/>
      <c r="AN52" s="18">
        <f t="shared" si="8"/>
        <v>1431</v>
      </c>
      <c r="AO52" s="18">
        <f t="shared" si="7"/>
        <v>561</v>
      </c>
      <c r="AP52" s="23">
        <f t="shared" si="1"/>
        <v>0.39203354297693921</v>
      </c>
    </row>
    <row r="53" spans="1:42" ht="14.25" customHeight="1" x14ac:dyDescent="0.25">
      <c r="A53" s="14" t="s">
        <v>40</v>
      </c>
      <c r="B53" s="7">
        <v>0.94</v>
      </c>
      <c r="C53" s="15" t="s">
        <v>63</v>
      </c>
      <c r="D53" s="18">
        <v>58</v>
      </c>
      <c r="E53" s="18">
        <v>29</v>
      </c>
      <c r="F53" s="13">
        <f t="shared" si="2"/>
        <v>0.5</v>
      </c>
      <c r="G53" s="10">
        <v>44</v>
      </c>
      <c r="H53" s="10">
        <v>12</v>
      </c>
      <c r="I53" s="13">
        <f t="shared" si="3"/>
        <v>0.27272727272727271</v>
      </c>
      <c r="J53" s="10">
        <v>107</v>
      </c>
      <c r="K53" s="10">
        <v>11</v>
      </c>
      <c r="L53" s="32">
        <f t="shared" si="4"/>
        <v>0.10280373831775701</v>
      </c>
      <c r="M53" s="33">
        <v>102</v>
      </c>
      <c r="N53" s="33">
        <v>28</v>
      </c>
      <c r="O53" s="32">
        <f t="shared" si="5"/>
        <v>0.27450980392156865</v>
      </c>
      <c r="P53" s="10">
        <v>476</v>
      </c>
      <c r="Q53" s="10">
        <v>62</v>
      </c>
      <c r="R53" s="32">
        <f t="shared" si="6"/>
        <v>0.13025210084033614</v>
      </c>
      <c r="S53" s="28">
        <v>934</v>
      </c>
      <c r="T53" s="28">
        <v>80</v>
      </c>
      <c r="U53" s="13">
        <f>T53/S53</f>
        <v>8.5653104925053528E-2</v>
      </c>
      <c r="V53" s="29"/>
      <c r="W53" s="29"/>
      <c r="X53" s="13"/>
      <c r="Y53" s="29">
        <v>896</v>
      </c>
      <c r="Z53" s="29">
        <v>591</v>
      </c>
      <c r="AA53" s="13">
        <v>0.6595982142857143</v>
      </c>
      <c r="AB53" s="29">
        <v>802</v>
      </c>
      <c r="AC53" s="29">
        <v>586</v>
      </c>
      <c r="AD53" s="13">
        <f>VLOOKUP(AC53,Planilha1!A:B,2,0)</f>
        <v>0.73067331670822944</v>
      </c>
      <c r="AG53" s="13"/>
      <c r="AJ53" s="13"/>
      <c r="AM53" s="13"/>
      <c r="AN53" s="18">
        <f t="shared" si="8"/>
        <v>3419</v>
      </c>
      <c r="AO53" s="18">
        <f t="shared" si="7"/>
        <v>1399</v>
      </c>
      <c r="AP53" s="23">
        <f t="shared" si="1"/>
        <v>0.40918397192161449</v>
      </c>
    </row>
    <row r="54" spans="1:42" ht="14.25" hidden="1" customHeight="1" x14ac:dyDescent="0.25">
      <c r="A54" s="14" t="s">
        <v>40</v>
      </c>
      <c r="B54" s="7">
        <v>0.94</v>
      </c>
      <c r="C54" s="15" t="s">
        <v>64</v>
      </c>
      <c r="F54" s="13"/>
      <c r="I54" s="13"/>
      <c r="L54" s="32"/>
      <c r="M54" s="33"/>
      <c r="N54" s="33"/>
      <c r="O54" s="32"/>
      <c r="R54" s="32"/>
      <c r="S54" s="28"/>
      <c r="T54" s="28"/>
      <c r="U54" s="13"/>
      <c r="V54" s="29"/>
      <c r="W54" s="29"/>
      <c r="X54" s="13"/>
      <c r="AB54" s="29"/>
      <c r="AC54" s="29"/>
      <c r="AD54" s="13"/>
      <c r="AG54" s="13"/>
      <c r="AJ54" s="13"/>
      <c r="AM54" s="13"/>
      <c r="AN54" s="18"/>
      <c r="AO54" s="18"/>
      <c r="AP54" s="23" t="str">
        <f t="shared" si="1"/>
        <v/>
      </c>
    </row>
    <row r="58" spans="1:42" ht="14.25" customHeight="1" x14ac:dyDescent="0.2">
      <c r="I58" s="34"/>
    </row>
    <row r="59" spans="1:42" ht="14.25" customHeight="1" x14ac:dyDescent="0.2">
      <c r="I59" s="10"/>
    </row>
    <row r="60" spans="1:42" ht="14.25" customHeight="1" x14ac:dyDescent="0.2">
      <c r="I60" s="10"/>
      <c r="U60" s="30" t="s">
        <v>79</v>
      </c>
    </row>
    <row r="61" spans="1:42" ht="14.25" customHeight="1" x14ac:dyDescent="0.2">
      <c r="I61" s="10"/>
    </row>
    <row r="62" spans="1:42" ht="14.25" customHeight="1" x14ac:dyDescent="0.2">
      <c r="I62" s="10"/>
    </row>
    <row r="63" spans="1:42" ht="14.25" customHeight="1" x14ac:dyDescent="0.25">
      <c r="I63" s="10"/>
      <c r="J63" s="16"/>
      <c r="K63" s="16"/>
    </row>
    <row r="64" spans="1:42" ht="14.25" customHeight="1" x14ac:dyDescent="0.25">
      <c r="I64" s="10"/>
      <c r="J64" s="16"/>
      <c r="K64" s="16"/>
    </row>
    <row r="65" spans="9:11" ht="14.25" customHeight="1" x14ac:dyDescent="0.25">
      <c r="I65" s="10"/>
      <c r="J65" s="16"/>
      <c r="K65" s="16"/>
    </row>
    <row r="66" spans="9:11" ht="14.25" customHeight="1" x14ac:dyDescent="0.2">
      <c r="I66" s="10"/>
    </row>
    <row r="67" spans="9:11" ht="14.25" customHeight="1" x14ac:dyDescent="0.2">
      <c r="I67" s="10"/>
    </row>
    <row r="68" spans="9:11" ht="14.25" customHeight="1" x14ac:dyDescent="0.2">
      <c r="I68" s="10"/>
    </row>
  </sheetData>
  <autoFilter ref="A1:AP54">
    <filterColumn colId="2">
      <filters>
        <filter val="5002573 - CARVALIMA TRANSPORTES LTDA"/>
        <filter val="5002858 - FAVORITA TRANSPORTES LTDA"/>
        <filter val="5003024 - RODOBRAS TRANSPORTES RODOVIARIOS LT"/>
        <filter val="5003176 - J C THEDIN TRANSPORTES LTDA"/>
        <filter val="5003254 - TMA TRANSPORTE LOTACAO E LOGISTICA"/>
        <filter val="5003482 - TMA TRANSPORTE LOTACAO E LOGISTICA"/>
        <filter val="5004042 - BRASIL WEB TRANSPORTES E LOGISTICA"/>
        <filter val="5004101 - UNIDOCK'S ASSESSORIA E LOGISTICA DE"/>
        <filter val="5004215 - BRASIL WEB TRANSPORTES E LOGISTICA"/>
      </filters>
    </filterColumn>
  </autoFilter>
  <sortState ref="A2:AC33">
    <sortCondition ref="A2:A33"/>
  </sortState>
  <pageMargins left="0.78740157499999996" right="0.78740157499999996" top="0.984251969" bottom="0.984251969" header="0.49212598499999999" footer="0.49212598499999999"/>
  <pageSetup paperSize="9" orientation="portrait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7"/>
  <sheetViews>
    <sheetView workbookViewId="0">
      <selection activeCell="E1" sqref="E1:E27"/>
    </sheetView>
  </sheetViews>
  <sheetFormatPr defaultRowHeight="13.2" x14ac:dyDescent="0.25"/>
  <sheetData>
    <row r="1" spans="1:5" x14ac:dyDescent="0.25">
      <c r="A1">
        <v>20</v>
      </c>
      <c r="B1" s="36">
        <v>0.14925373134328357</v>
      </c>
      <c r="E1" s="13">
        <v>0.14925373134328357</v>
      </c>
    </row>
    <row r="2" spans="1:5" x14ac:dyDescent="0.25">
      <c r="A2">
        <v>16</v>
      </c>
      <c r="B2" s="36">
        <v>0.69565217391304346</v>
      </c>
      <c r="E2" s="13">
        <v>0.69565217391304346</v>
      </c>
    </row>
    <row r="3" spans="1:5" x14ac:dyDescent="0.25">
      <c r="A3">
        <v>290</v>
      </c>
      <c r="B3" s="36">
        <v>0.97972972972972971</v>
      </c>
      <c r="E3" s="13">
        <v>0.97972972972972971</v>
      </c>
    </row>
    <row r="4" spans="1:5" x14ac:dyDescent="0.25">
      <c r="A4">
        <v>390</v>
      </c>
      <c r="B4" s="36">
        <v>0.84967320261437906</v>
      </c>
      <c r="E4" s="13">
        <v>0.84967320261437906</v>
      </c>
    </row>
    <row r="5" spans="1:5" x14ac:dyDescent="0.25">
      <c r="A5">
        <v>190</v>
      </c>
      <c r="B5" s="36">
        <v>1</v>
      </c>
      <c r="E5" s="13">
        <v>1</v>
      </c>
    </row>
    <row r="6" spans="1:5" x14ac:dyDescent="0.25">
      <c r="A6">
        <v>7</v>
      </c>
      <c r="B6" s="36">
        <v>1</v>
      </c>
      <c r="E6" s="13">
        <v>1</v>
      </c>
    </row>
    <row r="7" spans="1:5" x14ac:dyDescent="0.25">
      <c r="A7">
        <v>1</v>
      </c>
      <c r="B7" s="36">
        <v>1</v>
      </c>
      <c r="E7" s="13">
        <v>1</v>
      </c>
    </row>
    <row r="8" spans="1:5" x14ac:dyDescent="0.25">
      <c r="A8">
        <v>135</v>
      </c>
      <c r="B8" s="36">
        <v>0.76271186440677963</v>
      </c>
      <c r="E8" s="13">
        <v>0.76271186440677963</v>
      </c>
    </row>
    <row r="9" spans="1:5" x14ac:dyDescent="0.25">
      <c r="A9">
        <v>647</v>
      </c>
      <c r="B9" s="36">
        <v>0.80673316708229426</v>
      </c>
      <c r="E9" s="13">
        <v>0.80673316708229426</v>
      </c>
    </row>
    <row r="10" spans="1:5" x14ac:dyDescent="0.25">
      <c r="A10">
        <v>6</v>
      </c>
      <c r="B10" s="36">
        <v>3.3898305084745763E-2</v>
      </c>
      <c r="E10" s="13">
        <v>3.3898305084745763E-2</v>
      </c>
    </row>
    <row r="11" spans="1:5" x14ac:dyDescent="0.25">
      <c r="A11">
        <v>17</v>
      </c>
      <c r="B11" s="36">
        <v>0.70833333333333337</v>
      </c>
      <c r="E11" s="13">
        <v>0.70833333333333337</v>
      </c>
    </row>
    <row r="12" spans="1:5" x14ac:dyDescent="0.25">
      <c r="A12">
        <v>301</v>
      </c>
      <c r="B12" s="36">
        <v>0.9868852459016394</v>
      </c>
      <c r="E12" s="13">
        <v>0.9868852459016394</v>
      </c>
    </row>
    <row r="13" spans="1:5" x14ac:dyDescent="0.25">
      <c r="A13">
        <v>419</v>
      </c>
      <c r="B13" s="36">
        <v>0.90889370932754876</v>
      </c>
      <c r="E13" s="13">
        <v>0.90889370932754876</v>
      </c>
    </row>
    <row r="14" spans="1:5" x14ac:dyDescent="0.25">
      <c r="A14">
        <v>191</v>
      </c>
      <c r="B14" s="36">
        <v>0.98453608247422686</v>
      </c>
      <c r="E14" s="13">
        <v>0.98453608247422686</v>
      </c>
    </row>
    <row r="15" spans="1:5" x14ac:dyDescent="0.25">
      <c r="A15">
        <v>7</v>
      </c>
      <c r="B15" s="36">
        <v>1</v>
      </c>
      <c r="E15" s="13">
        <v>1</v>
      </c>
    </row>
    <row r="16" spans="1:5" x14ac:dyDescent="0.25">
      <c r="A16">
        <v>1</v>
      </c>
      <c r="B16" s="36">
        <v>1</v>
      </c>
      <c r="E16" s="13">
        <v>1</v>
      </c>
    </row>
    <row r="17" spans="1:5" x14ac:dyDescent="0.25">
      <c r="A17">
        <v>89</v>
      </c>
      <c r="B17" s="36">
        <v>0.50282485875706218</v>
      </c>
      <c r="E17" s="13">
        <v>0.50282485875706218</v>
      </c>
    </row>
    <row r="18" spans="1:5" x14ac:dyDescent="0.25">
      <c r="A18">
        <v>367</v>
      </c>
      <c r="B18" s="36">
        <v>0.45760598503740646</v>
      </c>
      <c r="E18" s="13">
        <v>0.45760598503740646</v>
      </c>
    </row>
    <row r="19" spans="1:5" x14ac:dyDescent="0.25">
      <c r="A19">
        <v>20</v>
      </c>
      <c r="B19" s="36">
        <v>0.14925373134328357</v>
      </c>
      <c r="E19" s="13">
        <v>0.14925373134328357</v>
      </c>
    </row>
    <row r="20" spans="1:5" x14ac:dyDescent="0.25">
      <c r="A20">
        <v>15</v>
      </c>
      <c r="B20" s="36">
        <v>0.65217391304347827</v>
      </c>
      <c r="E20" s="13">
        <v>0.65217391304347827</v>
      </c>
    </row>
    <row r="21" spans="1:5" x14ac:dyDescent="0.25">
      <c r="A21">
        <v>291</v>
      </c>
      <c r="B21" s="36">
        <v>0.98310810810810811</v>
      </c>
      <c r="E21" s="13">
        <v>0.98310810810810811</v>
      </c>
    </row>
    <row r="22" spans="1:5" x14ac:dyDescent="0.25">
      <c r="A22">
        <v>380</v>
      </c>
      <c r="B22" s="36">
        <v>0.82788671023965144</v>
      </c>
      <c r="E22" s="13">
        <v>0.82788671023965144</v>
      </c>
    </row>
    <row r="23" spans="1:5" x14ac:dyDescent="0.25">
      <c r="A23">
        <v>190</v>
      </c>
      <c r="B23" s="36">
        <v>1</v>
      </c>
      <c r="E23" s="13">
        <v>1</v>
      </c>
    </row>
    <row r="24" spans="1:5" x14ac:dyDescent="0.25">
      <c r="A24">
        <v>7</v>
      </c>
      <c r="B24" s="36">
        <v>1</v>
      </c>
      <c r="E24" s="13">
        <v>1</v>
      </c>
    </row>
    <row r="25" spans="1:5" x14ac:dyDescent="0.25">
      <c r="A25">
        <v>0</v>
      </c>
      <c r="B25" s="36">
        <v>0</v>
      </c>
      <c r="E25" s="13">
        <v>0</v>
      </c>
    </row>
    <row r="26" spans="1:5" x14ac:dyDescent="0.25">
      <c r="A26">
        <v>114</v>
      </c>
      <c r="B26" s="36">
        <v>0.64406779661016944</v>
      </c>
      <c r="E26" s="13">
        <v>0.64406779661016944</v>
      </c>
    </row>
    <row r="27" spans="1:5" x14ac:dyDescent="0.25">
      <c r="A27">
        <v>586</v>
      </c>
      <c r="B27" s="36">
        <v>0.73067331670822944</v>
      </c>
      <c r="E27" s="13">
        <v>0.73067331670822944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B18"/>
  <sheetViews>
    <sheetView workbookViewId="0">
      <selection activeCell="B10" sqref="B10"/>
    </sheetView>
  </sheetViews>
  <sheetFormatPr defaultRowHeight="13.2" x14ac:dyDescent="0.25"/>
  <cols>
    <col min="1" max="1" width="20.33203125" bestFit="1" customWidth="1"/>
    <col min="2" max="2" width="41.5546875" customWidth="1"/>
    <col min="3" max="3" width="7.6640625" bestFit="1" customWidth="1"/>
    <col min="4" max="5" width="7.33203125" bestFit="1" customWidth="1"/>
    <col min="6" max="6" width="7.5546875" bestFit="1" customWidth="1"/>
    <col min="7" max="7" width="6.88671875" bestFit="1" customWidth="1"/>
    <col min="8" max="8" width="7.77734375" bestFit="1" customWidth="1"/>
    <col min="9" max="9" width="6.88671875" bestFit="1" customWidth="1"/>
    <col min="10" max="10" width="7" bestFit="1" customWidth="1"/>
    <col min="11" max="11" width="7.21875" bestFit="1" customWidth="1"/>
    <col min="12" max="12" width="20.44140625" bestFit="1" customWidth="1"/>
    <col min="13" max="13" width="13.33203125" bestFit="1" customWidth="1"/>
    <col min="14" max="25" width="20.21875" bestFit="1" customWidth="1"/>
    <col min="26" max="26" width="11.21875" bestFit="1" customWidth="1"/>
  </cols>
  <sheetData>
    <row r="1" spans="1:2" x14ac:dyDescent="0.25">
      <c r="A1" s="25" t="s">
        <v>15</v>
      </c>
      <c r="B1" t="s">
        <v>60</v>
      </c>
    </row>
    <row r="2" spans="1:2" x14ac:dyDescent="0.25">
      <c r="A2" s="25" t="s">
        <v>17</v>
      </c>
      <c r="B2" t="s">
        <v>47</v>
      </c>
    </row>
    <row r="4" spans="1:2" x14ac:dyDescent="0.25">
      <c r="A4" s="25" t="s">
        <v>16</v>
      </c>
    </row>
    <row r="5" spans="1:2" x14ac:dyDescent="0.25">
      <c r="A5" s="26" t="s">
        <v>55</v>
      </c>
      <c r="B5" s="27">
        <v>0.90999999999999992</v>
      </c>
    </row>
    <row r="6" spans="1:2" x14ac:dyDescent="0.25">
      <c r="A6" s="26" t="s">
        <v>66</v>
      </c>
      <c r="B6" s="27">
        <v>0.97649572649572647</v>
      </c>
    </row>
    <row r="7" spans="1:2" x14ac:dyDescent="0.25">
      <c r="A7" s="26" t="s">
        <v>67</v>
      </c>
      <c r="B7" s="27">
        <v>0.95205479452054798</v>
      </c>
    </row>
    <row r="8" spans="1:2" x14ac:dyDescent="0.25">
      <c r="A8" s="26" t="s">
        <v>68</v>
      </c>
      <c r="B8" s="27">
        <v>0.83397683397683398</v>
      </c>
    </row>
    <row r="9" spans="1:2" x14ac:dyDescent="0.25">
      <c r="A9" s="26" t="s">
        <v>69</v>
      </c>
      <c r="B9" s="27">
        <v>1</v>
      </c>
    </row>
    <row r="10" spans="1:2" x14ac:dyDescent="0.25">
      <c r="A10" s="26" t="s">
        <v>70</v>
      </c>
      <c r="B10" s="27">
        <v>0.92634560906515584</v>
      </c>
    </row>
    <row r="11" spans="1:2" x14ac:dyDescent="0.25">
      <c r="A11" s="26" t="s">
        <v>71</v>
      </c>
      <c r="B11" s="27">
        <v>0.98168498168498164</v>
      </c>
    </row>
    <row r="12" spans="1:2" x14ac:dyDescent="0.25">
      <c r="A12" s="26" t="s">
        <v>72</v>
      </c>
      <c r="B12" s="27">
        <v>0.99411764705882355</v>
      </c>
    </row>
    <row r="13" spans="1:2" x14ac:dyDescent="0.25">
      <c r="A13" s="26" t="s">
        <v>73</v>
      </c>
      <c r="B13" s="27">
        <v>1</v>
      </c>
    </row>
    <row r="14" spans="1:2" x14ac:dyDescent="0.25">
      <c r="A14" s="26" t="s">
        <v>77</v>
      </c>
      <c r="B14" s="27" t="e">
        <v>#DIV/0!</v>
      </c>
    </row>
    <row r="15" spans="1:2" x14ac:dyDescent="0.25">
      <c r="A15" s="26" t="s">
        <v>76</v>
      </c>
      <c r="B15" s="27" t="e">
        <v>#DIV/0!</v>
      </c>
    </row>
    <row r="16" spans="1:2" x14ac:dyDescent="0.25">
      <c r="A16" s="26" t="s">
        <v>74</v>
      </c>
      <c r="B16" s="27">
        <v>0.94789422135161605</v>
      </c>
    </row>
    <row r="17" spans="1:2" x14ac:dyDescent="0.25">
      <c r="A17" s="26" t="s">
        <v>75</v>
      </c>
      <c r="B17" s="27">
        <v>0.94</v>
      </c>
    </row>
    <row r="18" spans="1:2" x14ac:dyDescent="0.25">
      <c r="A18" s="26" t="s">
        <v>78</v>
      </c>
      <c r="B18" s="31">
        <v>0.94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showGridLines="0" zoomScaleNormal="100" workbookViewId="0">
      <selection activeCell="G32" sqref="G32"/>
    </sheetView>
  </sheetViews>
  <sheetFormatPr defaultRowHeight="13.2" x14ac:dyDescent="0.25"/>
  <cols>
    <col min="2" max="2" width="15.21875" customWidth="1"/>
    <col min="3" max="3" width="15.77734375" customWidth="1"/>
  </cols>
  <sheetData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Base_Peças</vt:lpstr>
      <vt:lpstr>Planilha1</vt:lpstr>
      <vt:lpstr>Din nova</vt:lpstr>
      <vt:lpstr>Gráficos</vt:lpstr>
    </vt:vector>
  </TitlesOfParts>
  <Company>Multibras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ujfgbdjs</dc:creator>
  <cp:lastModifiedBy>MATEUS LOPES</cp:lastModifiedBy>
  <cp:lastPrinted>2009-07-21T11:53:57Z</cp:lastPrinted>
  <dcterms:created xsi:type="dcterms:W3CDTF">2009-04-13T20:30:47Z</dcterms:created>
  <dcterms:modified xsi:type="dcterms:W3CDTF">2025-10-07T19:43:58Z</dcterms:modified>
</cp:coreProperties>
</file>